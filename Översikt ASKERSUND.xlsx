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46186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46186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2441-2025</t>
        </is>
      </c>
      <c r="B9" s="1" t="n">
        <v>45674</v>
      </c>
      <c r="C9" s="1" t="n">
        <v>46186</v>
      </c>
      <c r="D9" t="inlineStr">
        <is>
          <t>ÖREBRO LÄN</t>
        </is>
      </c>
      <c r="E9" t="inlineStr">
        <is>
          <t>ASKERSUND</t>
        </is>
      </c>
      <c r="G9" t="n">
        <v>1.5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Solvända
Svart trolldruva
Grönvit nattviol
Blåsippa</t>
        </is>
      </c>
      <c r="S9">
        <f>HYPERLINK("https://klasma.github.io/Logging_1882/artfynd/A 2441-2025 artfynd.xlsx", "A 2441-2025")</f>
        <v/>
      </c>
      <c r="T9">
        <f>HYPERLINK("https://klasma.github.io/Logging_1882/kartor/A 2441-2025 karta.png", "A 2441-2025")</f>
        <v/>
      </c>
      <c r="V9">
        <f>HYPERLINK("https://klasma.github.io/Logging_1882/klagomål/A 2441-2025 FSC-klagomål.docx", "A 2441-2025")</f>
        <v/>
      </c>
      <c r="W9">
        <f>HYPERLINK("https://klasma.github.io/Logging_1882/klagomålsmail/A 2441-2025 FSC-klagomål mail.docx", "A 2441-2025")</f>
        <v/>
      </c>
      <c r="X9">
        <f>HYPERLINK("https://klasma.github.io/Logging_1882/tillsyn/A 2441-2025 tillsynsbegäran.docx", "A 2441-2025")</f>
        <v/>
      </c>
      <c r="Y9">
        <f>HYPERLINK("https://klasma.github.io/Logging_1882/tillsynsmail/A 2441-2025 tillsynsbegäran mail.docx", "A 2441-2025")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46186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46186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46186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49813-2023</t>
        </is>
      </c>
      <c r="B15" s="1" t="n">
        <v>45212</v>
      </c>
      <c r="C15" s="1" t="n">
        <v>46186</v>
      </c>
      <c r="D15" t="inlineStr">
        <is>
          <t>ÖREBRO LÄN</t>
        </is>
      </c>
      <c r="E15" t="inlineStr">
        <is>
          <t>ASKERSUND</t>
        </is>
      </c>
      <c r="G15" t="n">
        <v>4.7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Björksplintborre
Mattlummer</t>
        </is>
      </c>
      <c r="S15">
        <f>HYPERLINK("https://klasma.github.io/Logging_1882/artfynd/A 49813-2023 artfynd.xlsx", "A 49813-2023")</f>
        <v/>
      </c>
      <c r="T15">
        <f>HYPERLINK("https://klasma.github.io/Logging_1882/kartor/A 49813-2023 karta.png", "A 49813-2023")</f>
        <v/>
      </c>
      <c r="V15">
        <f>HYPERLINK("https://klasma.github.io/Logging_1882/klagomål/A 49813-2023 FSC-klagomål.docx", "A 49813-2023")</f>
        <v/>
      </c>
      <c r="W15">
        <f>HYPERLINK("https://klasma.github.io/Logging_1882/klagomålsmail/A 49813-2023 FSC-klagomål mail.docx", "A 49813-2023")</f>
        <v/>
      </c>
      <c r="X15">
        <f>HYPERLINK("https://klasma.github.io/Logging_1882/tillsyn/A 49813-2023 tillsynsbegäran.docx", "A 49813-2023")</f>
        <v/>
      </c>
      <c r="Y15">
        <f>HYPERLINK("https://klasma.github.io/Logging_1882/tillsynsmail/A 49813-2023 tillsynsbegäran mail.docx", "A 49813-2023")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46186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46186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46186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46186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18263-2026</t>
        </is>
      </c>
      <c r="B20" s="1" t="n">
        <v>46126.37391203704</v>
      </c>
      <c r="C20" s="1" t="n">
        <v>46186</v>
      </c>
      <c r="D20" t="inlineStr">
        <is>
          <t>ÖREBRO LÄN</t>
        </is>
      </c>
      <c r="E20" t="inlineStr">
        <is>
          <t>ASKERSUND</t>
        </is>
      </c>
      <c r="G20" t="n">
        <v>4.3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18263-2026 artfynd.xlsx", "A 18263-2026")</f>
        <v/>
      </c>
      <c r="T20">
        <f>HYPERLINK("https://klasma.github.io/Logging_1882/kartor/A 18263-2026 karta.png", "A 18263-2026")</f>
        <v/>
      </c>
      <c r="V20">
        <f>HYPERLINK("https://klasma.github.io/Logging_1882/klagomål/A 18263-2026 FSC-klagomål.docx", "A 18263-2026")</f>
        <v/>
      </c>
      <c r="W20">
        <f>HYPERLINK("https://klasma.github.io/Logging_1882/klagomålsmail/A 18263-2026 FSC-klagomål mail.docx", "A 18263-2026")</f>
        <v/>
      </c>
      <c r="X20">
        <f>HYPERLINK("https://klasma.github.io/Logging_1882/tillsyn/A 18263-2026 tillsynsbegäran.docx", "A 18263-2026")</f>
        <v/>
      </c>
      <c r="Y20">
        <f>HYPERLINK("https://klasma.github.io/Logging_1882/tillsynsmail/A 18263-2026 tillsynsbegäran mail.docx", "A 18263-2026")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46186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46186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46186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46186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3460-2025</t>
        </is>
      </c>
      <c r="B27" s="1" t="n">
        <v>45680</v>
      </c>
      <c r="C27" s="1" t="n">
        <v>46186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HYPERLINK("https://klasma.github.io/Logging_1882/artfynd/A 3460-2025 artfynd.xlsx", "A 3460-2025")</f>
        <v/>
      </c>
      <c r="T27">
        <f>HYPERLINK("https://klasma.github.io/Logging_1882/kartor/A 3460-2025 karta.png", "A 3460-2025")</f>
        <v/>
      </c>
      <c r="V27">
        <f>HYPERLINK("https://klasma.github.io/Logging_1882/klagomål/A 3460-2025 FSC-klagomål.docx", "A 3460-2025")</f>
        <v/>
      </c>
      <c r="W27">
        <f>HYPERLINK("https://klasma.github.io/Logging_1882/klagomålsmail/A 3460-2025 FSC-klagomål mail.docx", "A 3460-2025")</f>
        <v/>
      </c>
      <c r="X27">
        <f>HYPERLINK("https://klasma.github.io/Logging_1882/tillsyn/A 3460-2025 tillsynsbegäran.docx", "A 3460-2025")</f>
        <v/>
      </c>
      <c r="Y27">
        <f>HYPERLINK("https://klasma.github.io/Logging_1882/tillsynsmail/A 3460-2025 tillsynsbegäran mail.docx", "A 3460-2025")</f>
        <v/>
      </c>
    </row>
    <row r="28" ht="15" customHeight="1">
      <c r="A28" t="inlineStr">
        <is>
          <t>A 30189-2022</t>
        </is>
      </c>
      <c r="B28" s="1" t="n">
        <v>44757</v>
      </c>
      <c r="C28" s="1" t="n">
        <v>46186</v>
      </c>
      <c r="D28" t="inlineStr">
        <is>
          <t>ÖREBRO LÄN</t>
        </is>
      </c>
      <c r="E28" t="inlineStr">
        <is>
          <t>ASKERSUND</t>
        </is>
      </c>
      <c r="G28" t="n">
        <v>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HYPERLINK("https://klasma.github.io/Logging_1882/artfynd/A 30189-2022 artfynd.xlsx", "A 30189-2022")</f>
        <v/>
      </c>
      <c r="T28">
        <f>HYPERLINK("https://klasma.github.io/Logging_1882/kartor/A 30189-2022 karta.png", "A 30189-2022")</f>
        <v/>
      </c>
      <c r="U28">
        <f>HYPERLINK("https://klasma.github.io/Logging_1882/knärot/A 30189-2022 karta knärot.png", "A 30189-2022")</f>
        <v/>
      </c>
      <c r="V28">
        <f>HYPERLINK("https://klasma.github.io/Logging_1882/klagomål/A 30189-2022 FSC-klagomål.docx", "A 30189-2022")</f>
        <v/>
      </c>
      <c r="W28">
        <f>HYPERLINK("https://klasma.github.io/Logging_1882/klagomålsmail/A 30189-2022 FSC-klagomål mail.docx", "A 30189-2022")</f>
        <v/>
      </c>
      <c r="X28">
        <f>HYPERLINK("https://klasma.github.io/Logging_1882/tillsyn/A 30189-2022 tillsynsbegäran.docx", "A 30189-2022")</f>
        <v/>
      </c>
      <c r="Y28">
        <f>HYPERLINK("https://klasma.github.io/Logging_1882/tillsynsmail/A 30189-2022 tillsynsbegäran mail.docx", "A 30189-2022")</f>
        <v/>
      </c>
    </row>
    <row r="29" ht="15" customHeight="1">
      <c r="A29" t="inlineStr">
        <is>
          <t>A 34515-2024</t>
        </is>
      </c>
      <c r="B29" s="1" t="n">
        <v>45525</v>
      </c>
      <c r="C29" s="1" t="n">
        <v>46186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Blåsippa</t>
        </is>
      </c>
      <c r="S29">
        <f>HYPERLINK("https://klasma.github.io/Logging_1882/artfynd/A 34515-2024 artfynd.xlsx", "A 34515-2024")</f>
        <v/>
      </c>
      <c r="T29">
        <f>HYPERLINK("https://klasma.github.io/Logging_1882/kartor/A 34515-2024 karta.png", "A 34515-2024")</f>
        <v/>
      </c>
      <c r="V29">
        <f>HYPERLINK("https://klasma.github.io/Logging_1882/klagomål/A 34515-2024 FSC-klagomål.docx", "A 34515-2024")</f>
        <v/>
      </c>
      <c r="W29">
        <f>HYPERLINK("https://klasma.github.io/Logging_1882/klagomålsmail/A 34515-2024 FSC-klagomål mail.docx", "A 34515-2024")</f>
        <v/>
      </c>
      <c r="X29">
        <f>HYPERLINK("https://klasma.github.io/Logging_1882/tillsyn/A 34515-2024 tillsynsbegäran.docx", "A 34515-2024")</f>
        <v/>
      </c>
      <c r="Y29">
        <f>HYPERLINK("https://klasma.github.io/Logging_1882/tillsynsmail/A 34515-2024 tillsynsbegäran mail.docx", "A 34515-2024")</f>
        <v/>
      </c>
      <c r="Z29">
        <f>HYPERLINK("https://klasma.github.io/Logging_1882/fåglar/A 34515-2024 prioriterade fågelarter.docx", "A 34515-2024")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46186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46186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46186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46186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46186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51319-2021</t>
        </is>
      </c>
      <c r="B35" s="1" t="n">
        <v>44461</v>
      </c>
      <c r="C35" s="1" t="n">
        <v>46186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Sexfläckig bastardsvärmare</t>
        </is>
      </c>
      <c r="S35">
        <f>HYPERLINK("https://klasma.github.io/Logging_1882/artfynd/A 51319-2021 artfynd.xlsx", "A 51319-2021")</f>
        <v/>
      </c>
      <c r="T35">
        <f>HYPERLINK("https://klasma.github.io/Logging_1882/kartor/A 51319-2021 karta.png", "A 51319-2021")</f>
        <v/>
      </c>
      <c r="V35">
        <f>HYPERLINK("https://klasma.github.io/Logging_1882/klagomål/A 51319-2021 FSC-klagomål.docx", "A 51319-2021")</f>
        <v/>
      </c>
      <c r="W35">
        <f>HYPERLINK("https://klasma.github.io/Logging_1882/klagomålsmail/A 51319-2021 FSC-klagomål mail.docx", "A 51319-2021")</f>
        <v/>
      </c>
      <c r="X35">
        <f>HYPERLINK("https://klasma.github.io/Logging_1882/tillsyn/A 51319-2021 tillsynsbegäran.docx", "A 51319-2021")</f>
        <v/>
      </c>
      <c r="Y35">
        <f>HYPERLINK("https://klasma.github.io/Logging_1882/tillsynsmail/A 51319-2021 tillsynsbegäran mail.docx", "A 51319-2021")</f>
        <v/>
      </c>
    </row>
    <row r="36" ht="15" customHeight="1">
      <c r="A36" t="inlineStr">
        <is>
          <t>A 11519-2023</t>
        </is>
      </c>
      <c r="B36" s="1" t="n">
        <v>44993.71164351852</v>
      </c>
      <c r="C36" s="1" t="n">
        <v>46186</v>
      </c>
      <c r="D36" t="inlineStr">
        <is>
          <t>ÖREBRO LÄN</t>
        </is>
      </c>
      <c r="E36" t="inlineStr">
        <is>
          <t>ASKERSUND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HYPERLINK("https://klasma.github.io/Logging_1882/artfynd/A 11519-2023 artfynd.xlsx", "A 11519-2023")</f>
        <v/>
      </c>
      <c r="T36">
        <f>HYPERLINK("https://klasma.github.io/Logging_1882/kartor/A 11519-2023 karta.png", "A 11519-2023")</f>
        <v/>
      </c>
      <c r="V36">
        <f>HYPERLINK("https://klasma.github.io/Logging_1882/klagomål/A 11519-2023 FSC-klagomål.docx", "A 11519-2023")</f>
        <v/>
      </c>
      <c r="W36">
        <f>HYPERLINK("https://klasma.github.io/Logging_1882/klagomålsmail/A 11519-2023 FSC-klagomål mail.docx", "A 11519-2023")</f>
        <v/>
      </c>
      <c r="X36">
        <f>HYPERLINK("https://klasma.github.io/Logging_1882/tillsyn/A 11519-2023 tillsynsbegäran.docx", "A 11519-2023")</f>
        <v/>
      </c>
      <c r="Y36">
        <f>HYPERLINK("https://klasma.github.io/Logging_1882/tillsynsmail/A 11519-2023 tillsynsbegäran mail.docx", "A 11519-2023")</f>
        <v/>
      </c>
    </row>
    <row r="37" ht="15" customHeight="1">
      <c r="A37" t="inlineStr">
        <is>
          <t>A 7069-2024</t>
        </is>
      </c>
      <c r="B37" s="1" t="n">
        <v>45343.68663194445</v>
      </c>
      <c r="C37" s="1" t="n">
        <v>46186</v>
      </c>
      <c r="D37" t="inlineStr">
        <is>
          <t>ÖREBRO LÄN</t>
        </is>
      </c>
      <c r="E37" t="inlineStr">
        <is>
          <t>ASKERSUND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HYPERLINK("https://klasma.github.io/Logging_1882/artfynd/A 7069-2024 artfynd.xlsx", "A 7069-2024")</f>
        <v/>
      </c>
      <c r="T37">
        <f>HYPERLINK("https://klasma.github.io/Logging_1882/kartor/A 7069-2024 karta.png", "A 7069-2024")</f>
        <v/>
      </c>
      <c r="V37">
        <f>HYPERLINK("https://klasma.github.io/Logging_1882/klagomål/A 7069-2024 FSC-klagomål.docx", "A 7069-2024")</f>
        <v/>
      </c>
      <c r="W37">
        <f>HYPERLINK("https://klasma.github.io/Logging_1882/klagomålsmail/A 7069-2024 FSC-klagomål mail.docx", "A 7069-2024")</f>
        <v/>
      </c>
      <c r="X37">
        <f>HYPERLINK("https://klasma.github.io/Logging_1882/tillsyn/A 7069-2024 tillsynsbegäran.docx", "A 7069-2024")</f>
        <v/>
      </c>
      <c r="Y37">
        <f>HYPERLINK("https://klasma.github.io/Logging_1882/tillsynsmail/A 7069-2024 tillsynsbegäran mail.docx", "A 7069-2024")</f>
        <v/>
      </c>
    </row>
    <row r="38" ht="15" customHeight="1">
      <c r="A38" t="inlineStr">
        <is>
          <t>A 44888-2024</t>
        </is>
      </c>
      <c r="B38" s="1" t="n">
        <v>45575</v>
      </c>
      <c r="C38" s="1" t="n">
        <v>46186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44888-2024 artfynd.xlsx", "A 44888-2024")</f>
        <v/>
      </c>
      <c r="T38">
        <f>HYPERLINK("https://klasma.github.io/Logging_1882/kartor/A 44888-2024 karta.png", "A 44888-2024")</f>
        <v/>
      </c>
      <c r="V38">
        <f>HYPERLINK("https://klasma.github.io/Logging_1882/klagomål/A 44888-2024 FSC-klagomål.docx", "A 44888-2024")</f>
        <v/>
      </c>
      <c r="W38">
        <f>HYPERLINK("https://klasma.github.io/Logging_1882/klagomålsmail/A 44888-2024 FSC-klagomål mail.docx", "A 44888-2024")</f>
        <v/>
      </c>
      <c r="X38">
        <f>HYPERLINK("https://klasma.github.io/Logging_1882/tillsyn/A 44888-2024 tillsynsbegäran.docx", "A 44888-2024")</f>
        <v/>
      </c>
      <c r="Y38">
        <f>HYPERLINK("https://klasma.github.io/Logging_1882/tillsynsmail/A 44888-2024 tillsynsbegäran mail.docx", "A 44888-2024")</f>
        <v/>
      </c>
    </row>
    <row r="39" ht="15" customHeight="1">
      <c r="A39" t="inlineStr">
        <is>
          <t>A 1121-2026</t>
        </is>
      </c>
      <c r="B39" s="1" t="n">
        <v>46030</v>
      </c>
      <c r="C39" s="1" t="n">
        <v>46186</v>
      </c>
      <c r="D39" t="inlineStr">
        <is>
          <t>ÖREBRO LÄN</t>
        </is>
      </c>
      <c r="E39" t="inlineStr">
        <is>
          <t>ASKERSUND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HYPERLINK("https://klasma.github.io/Logging_1882/artfynd/A 1121-2026 artfynd.xlsx", "A 1121-2026")</f>
        <v/>
      </c>
      <c r="T39">
        <f>HYPERLINK("https://klasma.github.io/Logging_1882/kartor/A 1121-2026 karta.png", "A 1121-2026")</f>
        <v/>
      </c>
      <c r="V39">
        <f>HYPERLINK("https://klasma.github.io/Logging_1882/klagomål/A 1121-2026 FSC-klagomål.docx", "A 1121-2026")</f>
        <v/>
      </c>
      <c r="W39">
        <f>HYPERLINK("https://klasma.github.io/Logging_1882/klagomålsmail/A 1121-2026 FSC-klagomål mail.docx", "A 1121-2026")</f>
        <v/>
      </c>
      <c r="X39">
        <f>HYPERLINK("https://klasma.github.io/Logging_1882/tillsyn/A 1121-2026 tillsynsbegäran.docx", "A 1121-2026")</f>
        <v/>
      </c>
      <c r="Y39">
        <f>HYPERLINK("https://klasma.github.io/Logging_1882/tillsynsmail/A 1121-2026 tillsynsbegäran mail.docx", "A 1121-2026")</f>
        <v/>
      </c>
    </row>
    <row r="40" ht="15" customHeight="1">
      <c r="A40" t="inlineStr">
        <is>
          <t>A 62084-2024</t>
        </is>
      </c>
      <c r="B40" s="1" t="n">
        <v>45656.45586805556</v>
      </c>
      <c r="C40" s="1" t="n">
        <v>46186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Ängsvaxing agg.</t>
        </is>
      </c>
      <c r="S40">
        <f>HYPERLINK("https://klasma.github.io/Logging_1882/artfynd/A 62084-2024 artfynd.xlsx", "A 62084-2024")</f>
        <v/>
      </c>
      <c r="T40">
        <f>HYPERLINK("https://klasma.github.io/Logging_1882/kartor/A 62084-2024 karta.png", "A 62084-2024")</f>
        <v/>
      </c>
      <c r="V40">
        <f>HYPERLINK("https://klasma.github.io/Logging_1882/klagomål/A 62084-2024 FSC-klagomål.docx", "A 62084-2024")</f>
        <v/>
      </c>
      <c r="W40">
        <f>HYPERLINK("https://klasma.github.io/Logging_1882/klagomålsmail/A 62084-2024 FSC-klagomål mail.docx", "A 62084-2024")</f>
        <v/>
      </c>
      <c r="X40">
        <f>HYPERLINK("https://klasma.github.io/Logging_1882/tillsyn/A 62084-2024 tillsynsbegäran.docx", "A 62084-2024")</f>
        <v/>
      </c>
      <c r="Y40">
        <f>HYPERLINK("https://klasma.github.io/Logging_1882/tillsynsmail/A 62084-2024 tillsynsbegäran mail.docx", "A 62084-2024")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46186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46186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38601-2024</t>
        </is>
      </c>
      <c r="B43" s="1" t="n">
        <v>45546.67635416667</v>
      </c>
      <c r="C43" s="1" t="n">
        <v>46186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HYPERLINK("https://klasma.github.io/Logging_1882/artfynd/A 38601-2024 artfynd.xlsx", "A 38601-2024")</f>
        <v/>
      </c>
      <c r="T43">
        <f>HYPERLINK("https://klasma.github.io/Logging_1882/kartor/A 38601-2024 karta.png", "A 38601-2024")</f>
        <v/>
      </c>
      <c r="V43">
        <f>HYPERLINK("https://klasma.github.io/Logging_1882/klagomål/A 38601-2024 FSC-klagomål.docx", "A 38601-2024")</f>
        <v/>
      </c>
      <c r="W43">
        <f>HYPERLINK("https://klasma.github.io/Logging_1882/klagomålsmail/A 38601-2024 FSC-klagomål mail.docx", "A 38601-2024")</f>
        <v/>
      </c>
      <c r="X43">
        <f>HYPERLINK("https://klasma.github.io/Logging_1882/tillsyn/A 38601-2024 tillsynsbegäran.docx", "A 38601-2024")</f>
        <v/>
      </c>
      <c r="Y43">
        <f>HYPERLINK("https://klasma.github.io/Logging_1882/tillsynsmail/A 38601-2024 tillsynsbegäran mail.docx", "A 38601-2024")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46186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55832-2021</t>
        </is>
      </c>
      <c r="B45" s="1" t="n">
        <v>44476</v>
      </c>
      <c r="C45" s="1" t="n">
        <v>46186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55832-2021 artfynd.xlsx", "A 55832-2021")</f>
        <v/>
      </c>
      <c r="T45">
        <f>HYPERLINK("https://klasma.github.io/Logging_1882/kartor/A 55832-2021 karta.png", "A 55832-2021")</f>
        <v/>
      </c>
      <c r="V45">
        <f>HYPERLINK("https://klasma.github.io/Logging_1882/klagomål/A 55832-2021 FSC-klagomål.docx", "A 55832-2021")</f>
        <v/>
      </c>
      <c r="W45">
        <f>HYPERLINK("https://klasma.github.io/Logging_1882/klagomålsmail/A 55832-2021 FSC-klagomål mail.docx", "A 55832-2021")</f>
        <v/>
      </c>
      <c r="X45">
        <f>HYPERLINK("https://klasma.github.io/Logging_1882/tillsyn/A 55832-2021 tillsynsbegäran.docx", "A 55832-2021")</f>
        <v/>
      </c>
      <c r="Y45">
        <f>HYPERLINK("https://klasma.github.io/Logging_1882/tillsynsmail/A 55832-2021 tillsynsbegäran mail.docx", "A 55832-2021")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46186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46186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46186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18246-2026</t>
        </is>
      </c>
      <c r="B49" s="1" t="n">
        <v>46126.35640046297</v>
      </c>
      <c r="C49" s="1" t="n">
        <v>46186</v>
      </c>
      <c r="D49" t="inlineStr">
        <is>
          <t>ÖREBRO LÄN</t>
        </is>
      </c>
      <c r="E49" t="inlineStr">
        <is>
          <t>ASKERSUND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HYPERLINK("https://klasma.github.io/Logging_1882/artfynd/A 18246-2026 artfynd.xlsx", "A 18246-2026")</f>
        <v/>
      </c>
      <c r="T49">
        <f>HYPERLINK("https://klasma.github.io/Logging_1882/kartor/A 18246-2026 karta.png", "A 18246-2026")</f>
        <v/>
      </c>
      <c r="V49">
        <f>HYPERLINK("https://klasma.github.io/Logging_1882/klagomål/A 18246-2026 FSC-klagomål.docx", "A 18246-2026")</f>
        <v/>
      </c>
      <c r="W49">
        <f>HYPERLINK("https://klasma.github.io/Logging_1882/klagomålsmail/A 18246-2026 FSC-klagomål mail.docx", "A 18246-2026")</f>
        <v/>
      </c>
      <c r="X49">
        <f>HYPERLINK("https://klasma.github.io/Logging_1882/tillsyn/A 18246-2026 tillsynsbegäran.docx", "A 18246-2026")</f>
        <v/>
      </c>
      <c r="Y49">
        <f>HYPERLINK("https://klasma.github.io/Logging_1882/tillsynsmail/A 18246-2026 tillsynsbegäran mail.docx", "A 18246-2026")</f>
        <v/>
      </c>
    </row>
    <row r="50" ht="15" customHeight="1">
      <c r="A50" t="inlineStr">
        <is>
          <t>A 18259-2026</t>
        </is>
      </c>
      <c r="B50" s="1" t="n">
        <v>46126.36761574074</v>
      </c>
      <c r="C50" s="1" t="n">
        <v>46186</v>
      </c>
      <c r="D50" t="inlineStr">
        <is>
          <t>ÖREBRO LÄN</t>
        </is>
      </c>
      <c r="E50" t="inlineStr">
        <is>
          <t>ASKERSUND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Åkerväddsantennmal</t>
        </is>
      </c>
      <c r="S50">
        <f>HYPERLINK("https://klasma.github.io/Logging_1882/artfynd/A 18259-2026 artfynd.xlsx", "A 18259-2026")</f>
        <v/>
      </c>
      <c r="T50">
        <f>HYPERLINK("https://klasma.github.io/Logging_1882/kartor/A 18259-2026 karta.png", "A 18259-2026")</f>
        <v/>
      </c>
      <c r="V50">
        <f>HYPERLINK("https://klasma.github.io/Logging_1882/klagomål/A 18259-2026 FSC-klagomål.docx", "A 18259-2026")</f>
        <v/>
      </c>
      <c r="W50">
        <f>HYPERLINK("https://klasma.github.io/Logging_1882/klagomålsmail/A 18259-2026 FSC-klagomål mail.docx", "A 18259-2026")</f>
        <v/>
      </c>
      <c r="X50">
        <f>HYPERLINK("https://klasma.github.io/Logging_1882/tillsyn/A 18259-2026 tillsynsbegäran.docx", "A 18259-2026")</f>
        <v/>
      </c>
      <c r="Y50">
        <f>HYPERLINK("https://klasma.github.io/Logging_1882/tillsynsmail/A 18259-2026 tillsynsbegäran mail.docx", "A 18259-2026")</f>
        <v/>
      </c>
    </row>
    <row r="51" ht="15" customHeight="1">
      <c r="A51" t="inlineStr">
        <is>
          <t>A 44891-2024</t>
        </is>
      </c>
      <c r="B51" s="1" t="n">
        <v>45575</v>
      </c>
      <c r="C51" s="1" t="n">
        <v>46186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44891-2024 artfynd.xlsx", "A 44891-2024")</f>
        <v/>
      </c>
      <c r="T51">
        <f>HYPERLINK("https://klasma.github.io/Logging_1882/kartor/A 44891-2024 karta.png", "A 44891-2024")</f>
        <v/>
      </c>
      <c r="V51">
        <f>HYPERLINK("https://klasma.github.io/Logging_1882/klagomål/A 44891-2024 FSC-klagomål.docx", "A 44891-2024")</f>
        <v/>
      </c>
      <c r="W51">
        <f>HYPERLINK("https://klasma.github.io/Logging_1882/klagomålsmail/A 44891-2024 FSC-klagomål mail.docx", "A 44891-2024")</f>
        <v/>
      </c>
      <c r="X51">
        <f>HYPERLINK("https://klasma.github.io/Logging_1882/tillsyn/A 44891-2024 tillsynsbegäran.docx", "A 44891-2024")</f>
        <v/>
      </c>
      <c r="Y51">
        <f>HYPERLINK("https://klasma.github.io/Logging_1882/tillsynsmail/A 44891-2024 tillsynsbegäran mail.docx", "A 44891-2024")</f>
        <v/>
      </c>
    </row>
    <row r="52" ht="15" customHeight="1">
      <c r="A52" t="inlineStr">
        <is>
          <t>A 25006-2026</t>
        </is>
      </c>
      <c r="B52" s="1" t="n">
        <v>46174.61934027778</v>
      </c>
      <c r="C52" s="1" t="n">
        <v>46186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HYPERLINK("https://klasma.github.io/Logging_1882/artfynd/A 25006-2026 artfynd.xlsx", "A 25006-2026")</f>
        <v/>
      </c>
      <c r="T52">
        <f>HYPERLINK("https://klasma.github.io/Logging_1882/kartor/A 25006-2026 karta.png", "A 25006-2026")</f>
        <v/>
      </c>
      <c r="V52">
        <f>HYPERLINK("https://klasma.github.io/Logging_1882/klagomål/A 25006-2026 FSC-klagomål.docx", "A 25006-2026")</f>
        <v/>
      </c>
      <c r="W52">
        <f>HYPERLINK("https://klasma.github.io/Logging_1882/klagomålsmail/A 25006-2026 FSC-klagomål mail.docx", "A 25006-2026")</f>
        <v/>
      </c>
      <c r="X52">
        <f>HYPERLINK("https://klasma.github.io/Logging_1882/tillsyn/A 25006-2026 tillsynsbegäran.docx", "A 25006-2026")</f>
        <v/>
      </c>
      <c r="Y52">
        <f>HYPERLINK("https://klasma.github.io/Logging_1882/tillsynsmail/A 25006-2026 tillsynsbegäran mail.docx", "A 25006-2026")</f>
        <v/>
      </c>
    </row>
    <row r="53" ht="15" customHeight="1">
      <c r="A53" t="inlineStr">
        <is>
          <t>A 63535-2021</t>
        </is>
      </c>
      <c r="B53" s="1" t="n">
        <v>44508</v>
      </c>
      <c r="C53" s="1" t="n">
        <v>46186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Humlerotfjäril</t>
        </is>
      </c>
      <c r="S53">
        <f>HYPERLINK("https://klasma.github.io/Logging_1882/artfynd/A 63535-2021 artfynd.xlsx", "A 63535-2021")</f>
        <v/>
      </c>
      <c r="T53">
        <f>HYPERLINK("https://klasma.github.io/Logging_1882/kartor/A 63535-2021 karta.png", "A 63535-2021")</f>
        <v/>
      </c>
      <c r="V53">
        <f>HYPERLINK("https://klasma.github.io/Logging_1882/klagomål/A 63535-2021 FSC-klagomål.docx", "A 63535-2021")</f>
        <v/>
      </c>
      <c r="W53">
        <f>HYPERLINK("https://klasma.github.io/Logging_1882/klagomålsmail/A 63535-2021 FSC-klagomål mail.docx", "A 63535-2021")</f>
        <v/>
      </c>
      <c r="X53">
        <f>HYPERLINK("https://klasma.github.io/Logging_1882/tillsyn/A 63535-2021 tillsynsbegäran.docx", "A 63535-2021")</f>
        <v/>
      </c>
      <c r="Y53">
        <f>HYPERLINK("https://klasma.github.io/Logging_1882/tillsynsmail/A 63535-2021 tillsynsbegäran mail.docx", "A 63535-2021")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46186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31512-2023</t>
        </is>
      </c>
      <c r="B55" s="1" t="n">
        <v>45115</v>
      </c>
      <c r="C55" s="1" t="n">
        <v>46186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31512-2023 artfynd.xlsx", "A 31512-2023")</f>
        <v/>
      </c>
      <c r="T55">
        <f>HYPERLINK("https://klasma.github.io/Logging_1882/kartor/A 31512-2023 karta.png", "A 31512-2023")</f>
        <v/>
      </c>
      <c r="V55">
        <f>HYPERLINK("https://klasma.github.io/Logging_1882/klagomål/A 31512-2023 FSC-klagomål.docx", "A 31512-2023")</f>
        <v/>
      </c>
      <c r="W55">
        <f>HYPERLINK("https://klasma.github.io/Logging_1882/klagomålsmail/A 31512-2023 FSC-klagomål mail.docx", "A 31512-2023")</f>
        <v/>
      </c>
      <c r="X55">
        <f>HYPERLINK("https://klasma.github.io/Logging_1882/tillsyn/A 31512-2023 tillsynsbegäran.docx", "A 31512-2023")</f>
        <v/>
      </c>
      <c r="Y55">
        <f>HYPERLINK("https://klasma.github.io/Logging_1882/tillsynsmail/A 31512-2023 tillsynsbegäran mail.docx", "A 31512-2023")</f>
        <v/>
      </c>
      <c r="Z55">
        <f>HYPERLINK("https://klasma.github.io/Logging_1882/fåglar/A 31512-2023 prioriterade fågelarter.docx", "A 31512-2023")</f>
        <v/>
      </c>
    </row>
    <row r="56" ht="15" customHeight="1">
      <c r="A56" t="inlineStr">
        <is>
          <t>A 5230-2023</t>
        </is>
      </c>
      <c r="B56" s="1" t="n">
        <v>44959</v>
      </c>
      <c r="C56" s="1" t="n">
        <v>46186</v>
      </c>
      <c r="D56" t="inlineStr">
        <is>
          <t>ÖREBRO LÄN</t>
        </is>
      </c>
      <c r="E56" t="inlineStr">
        <is>
          <t>ASKERSUND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HYPERLINK("https://klasma.github.io/Logging_1882/artfynd/A 5230-2023 artfynd.xlsx", "A 5230-2023")</f>
        <v/>
      </c>
      <c r="T56">
        <f>HYPERLINK("https://klasma.github.io/Logging_1882/kartor/A 5230-2023 karta.png", "A 5230-2023")</f>
        <v/>
      </c>
      <c r="V56">
        <f>HYPERLINK("https://klasma.github.io/Logging_1882/klagomål/A 5230-2023 FSC-klagomål.docx", "A 5230-2023")</f>
        <v/>
      </c>
      <c r="W56">
        <f>HYPERLINK("https://klasma.github.io/Logging_1882/klagomålsmail/A 5230-2023 FSC-klagomål mail.docx", "A 5230-2023")</f>
        <v/>
      </c>
      <c r="X56">
        <f>HYPERLINK("https://klasma.github.io/Logging_1882/tillsyn/A 5230-2023 tillsynsbegäran.docx", "A 5230-2023")</f>
        <v/>
      </c>
      <c r="Y56">
        <f>HYPERLINK("https://klasma.github.io/Logging_1882/tillsynsmail/A 5230-2023 tillsynsbegäran mail.docx", "A 5230-2023")</f>
        <v/>
      </c>
    </row>
    <row r="57" ht="15" customHeight="1">
      <c r="A57" t="inlineStr">
        <is>
          <t>A 60240-2021</t>
        </is>
      </c>
      <c r="B57" s="1" t="n">
        <v>44495</v>
      </c>
      <c r="C57" s="1" t="n">
        <v>46186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46186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46186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51186-2021</t>
        </is>
      </c>
      <c r="B60" s="1" t="n">
        <v>44461.47859953704</v>
      </c>
      <c r="C60" s="1" t="n">
        <v>46186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46186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46186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46186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46186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46186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46186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46186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46186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46186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46186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50137-2021</t>
        </is>
      </c>
      <c r="B73" s="1" t="n">
        <v>44456</v>
      </c>
      <c r="C73" s="1" t="n">
        <v>46186</v>
      </c>
      <c r="D73" t="inlineStr">
        <is>
          <t>ÖREBRO LÄN</t>
        </is>
      </c>
      <c r="E73" t="inlineStr">
        <is>
          <t>ASKERSUND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50251-2021</t>
        </is>
      </c>
      <c r="B74" s="1" t="n">
        <v>44458</v>
      </c>
      <c r="C74" s="1" t="n">
        <v>46186</v>
      </c>
      <c r="D74" t="inlineStr">
        <is>
          <t>ÖREBRO LÄN</t>
        </is>
      </c>
      <c r="E74" t="inlineStr">
        <is>
          <t>ASKERSUND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25860-2022</t>
        </is>
      </c>
      <c r="B75" s="1" t="n">
        <v>44733</v>
      </c>
      <c r="C75" s="1" t="n">
        <v>46186</v>
      </c>
      <c r="D75" t="inlineStr">
        <is>
          <t>ÖREBRO LÄN</t>
        </is>
      </c>
      <c r="E75" t="inlineStr">
        <is>
          <t>ASKERSUND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65485-2021</t>
        </is>
      </c>
      <c r="B76" s="1" t="n">
        <v>44516.35936342592</v>
      </c>
      <c r="C76" s="1" t="n">
        <v>46186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40999-2022</t>
        </is>
      </c>
      <c r="B77" s="1" t="n">
        <v>44825.50923611111</v>
      </c>
      <c r="C77" s="1" t="n">
        <v>46186</v>
      </c>
      <c r="D77" t="inlineStr">
        <is>
          <t>ÖREBRO LÄN</t>
        </is>
      </c>
      <c r="E77" t="inlineStr">
        <is>
          <t>ASKERSUND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46186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46186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46186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46186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46186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46186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46186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46186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42830-2021</t>
        </is>
      </c>
      <c r="B88" s="1" t="n">
        <v>44430</v>
      </c>
      <c r="C88" s="1" t="n">
        <v>46186</v>
      </c>
      <c r="D88" t="inlineStr">
        <is>
          <t>ÖREBRO LÄN</t>
        </is>
      </c>
      <c r="E88" t="inlineStr">
        <is>
          <t>ASKERSUND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25059-2022</t>
        </is>
      </c>
      <c r="B89" s="1" t="n">
        <v>44729</v>
      </c>
      <c r="C89" s="1" t="n">
        <v>46186</v>
      </c>
      <c r="D89" t="inlineStr">
        <is>
          <t>ÖREBRO LÄN</t>
        </is>
      </c>
      <c r="E89" t="inlineStr">
        <is>
          <t>ASKERSUND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68343-2021</t>
        </is>
      </c>
      <c r="B90" s="1" t="n">
        <v>44528.6599074074</v>
      </c>
      <c r="C90" s="1" t="n">
        <v>46186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66879-2021</t>
        </is>
      </c>
      <c r="B91" s="1" t="n">
        <v>44522</v>
      </c>
      <c r="C91" s="1" t="n">
        <v>46186</v>
      </c>
      <c r="D91" t="inlineStr">
        <is>
          <t>ÖREBRO LÄN</t>
        </is>
      </c>
      <c r="E91" t="inlineStr">
        <is>
          <t>ASKERSUND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32573-2022</t>
        </is>
      </c>
      <c r="B92" s="1" t="n">
        <v>44783.38261574074</v>
      </c>
      <c r="C92" s="1" t="n">
        <v>46186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32325-2022</t>
        </is>
      </c>
      <c r="B93" s="1" t="n">
        <v>44781</v>
      </c>
      <c r="C93" s="1" t="n">
        <v>46186</v>
      </c>
      <c r="D93" t="inlineStr">
        <is>
          <t>ÖREBRO LÄN</t>
        </is>
      </c>
      <c r="E93" t="inlineStr">
        <is>
          <t>ASKERSUND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36080-2021</t>
        </is>
      </c>
      <c r="B94" s="1" t="n">
        <v>44389</v>
      </c>
      <c r="C94" s="1" t="n">
        <v>46186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35796-2021</t>
        </is>
      </c>
      <c r="B95" s="1" t="n">
        <v>44386</v>
      </c>
      <c r="C95" s="1" t="n">
        <v>46186</v>
      </c>
      <c r="D95" t="inlineStr">
        <is>
          <t>ÖREBRO LÄN</t>
        </is>
      </c>
      <c r="E95" t="inlineStr">
        <is>
          <t>ASKERSUND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47517-2021</t>
        </is>
      </c>
      <c r="B96" s="1" t="n">
        <v>44447</v>
      </c>
      <c r="C96" s="1" t="n">
        <v>46186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44150-2021</t>
        </is>
      </c>
      <c r="B97" s="1" t="n">
        <v>44434</v>
      </c>
      <c r="C97" s="1" t="n">
        <v>46186</v>
      </c>
      <c r="D97" t="inlineStr">
        <is>
          <t>ÖREBRO LÄN</t>
        </is>
      </c>
      <c r="E97" t="inlineStr">
        <is>
          <t>ASKERSUND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48428-2021</t>
        </is>
      </c>
      <c r="B98" s="1" t="n">
        <v>44449</v>
      </c>
      <c r="C98" s="1" t="n">
        <v>46186</v>
      </c>
      <c r="D98" t="inlineStr">
        <is>
          <t>ÖREBRO LÄN</t>
        </is>
      </c>
      <c r="E98" t="inlineStr">
        <is>
          <t>ASKERSUND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48463-2021</t>
        </is>
      </c>
      <c r="B99" s="1" t="n">
        <v>44452.38803240741</v>
      </c>
      <c r="C99" s="1" t="n">
        <v>46186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64008-2021</t>
        </is>
      </c>
      <c r="B100" s="1" t="n">
        <v>44510.29388888889</v>
      </c>
      <c r="C100" s="1" t="n">
        <v>46186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51227-2021</t>
        </is>
      </c>
      <c r="B101" s="1" t="n">
        <v>44461.51197916667</v>
      </c>
      <c r="C101" s="1" t="n">
        <v>46186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38271-2021</t>
        </is>
      </c>
      <c r="B102" s="1" t="n">
        <v>44405</v>
      </c>
      <c r="C102" s="1" t="n">
        <v>46186</v>
      </c>
      <c r="D102" t="inlineStr">
        <is>
          <t>ÖREBRO LÄN</t>
        </is>
      </c>
      <c r="E102" t="inlineStr">
        <is>
          <t>ASKERSUND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41252-2021</t>
        </is>
      </c>
      <c r="B103" s="1" t="n">
        <v>44424</v>
      </c>
      <c r="C103" s="1" t="n">
        <v>46186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30878-2022</t>
        </is>
      </c>
      <c r="B104" s="1" t="n">
        <v>44767</v>
      </c>
      <c r="C104" s="1" t="n">
        <v>46186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30787-2022</t>
        </is>
      </c>
      <c r="B105" s="1" t="n">
        <v>44764</v>
      </c>
      <c r="C105" s="1" t="n">
        <v>46186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46966-2021</t>
        </is>
      </c>
      <c r="B106" s="1" t="n">
        <v>44446</v>
      </c>
      <c r="C106" s="1" t="n">
        <v>46186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46186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46186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56294-2021</t>
        </is>
      </c>
      <c r="B109" s="1" t="n">
        <v>44480</v>
      </c>
      <c r="C109" s="1" t="n">
        <v>46186</v>
      </c>
      <c r="D109" t="inlineStr">
        <is>
          <t>ÖREBRO LÄN</t>
        </is>
      </c>
      <c r="E109" t="inlineStr">
        <is>
          <t>ASKERSUND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56363-2021</t>
        </is>
      </c>
      <c r="B110" s="1" t="n">
        <v>44480</v>
      </c>
      <c r="C110" s="1" t="n">
        <v>46186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40589-2021</t>
        </is>
      </c>
      <c r="B111" s="1" t="n">
        <v>44420</v>
      </c>
      <c r="C111" s="1" t="n">
        <v>46186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29997-2022</t>
        </is>
      </c>
      <c r="B112" s="1" t="n">
        <v>44756.86049768519</v>
      </c>
      <c r="C112" s="1" t="n">
        <v>46186</v>
      </c>
      <c r="D112" t="inlineStr">
        <is>
          <t>ÖREBRO LÄN</t>
        </is>
      </c>
      <c r="E112" t="inlineStr">
        <is>
          <t>ASKERSUND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47371-2022</t>
        </is>
      </c>
      <c r="B113" s="1" t="n">
        <v>44853</v>
      </c>
      <c r="C113" s="1" t="n">
        <v>46186</v>
      </c>
      <c r="D113" t="inlineStr">
        <is>
          <t>ÖREBRO LÄN</t>
        </is>
      </c>
      <c r="E113" t="inlineStr">
        <is>
          <t>ASKERSUND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8296-2022</t>
        </is>
      </c>
      <c r="B114" s="1" t="n">
        <v>44610</v>
      </c>
      <c r="C114" s="1" t="n">
        <v>46186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37277-2021</t>
        </is>
      </c>
      <c r="B115" s="1" t="n">
        <v>44397</v>
      </c>
      <c r="C115" s="1" t="n">
        <v>46186</v>
      </c>
      <c r="D115" t="inlineStr">
        <is>
          <t>ÖREBRO LÄN</t>
        </is>
      </c>
      <c r="E115" t="inlineStr">
        <is>
          <t>ASKERSUND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52259-2021</t>
        </is>
      </c>
      <c r="B116" s="1" t="n">
        <v>44463</v>
      </c>
      <c r="C116" s="1" t="n">
        <v>46186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46186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46186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31717-2022</t>
        </is>
      </c>
      <c r="B119" s="1" t="n">
        <v>44776.45553240741</v>
      </c>
      <c r="C119" s="1" t="n">
        <v>46186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44467.58364583334</v>
      </c>
      <c r="C120" s="1" t="n">
        <v>46186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52222-2021</t>
        </is>
      </c>
      <c r="B121" s="1" t="n">
        <v>44463.58862268519</v>
      </c>
      <c r="C121" s="1" t="n">
        <v>46186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46186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12292-2022</t>
        </is>
      </c>
      <c r="B123" s="1" t="n">
        <v>44637</v>
      </c>
      <c r="C123" s="1" t="n">
        <v>46186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25858-2022</t>
        </is>
      </c>
      <c r="B124" s="1" t="n">
        <v>44733.62664351852</v>
      </c>
      <c r="C124" s="1" t="n">
        <v>46186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68977-2021</t>
        </is>
      </c>
      <c r="B125" s="1" t="n">
        <v>44530.56172453704</v>
      </c>
      <c r="C125" s="1" t="n">
        <v>46186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64778-2021</t>
        </is>
      </c>
      <c r="B126" s="1" t="n">
        <v>44512</v>
      </c>
      <c r="C126" s="1" t="n">
        <v>46186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61570-2021</t>
        </is>
      </c>
      <c r="B127" s="1" t="n">
        <v>44501.44331018518</v>
      </c>
      <c r="C127" s="1" t="n">
        <v>46186</v>
      </c>
      <c r="D127" t="inlineStr">
        <is>
          <t>ÖREBRO LÄN</t>
        </is>
      </c>
      <c r="E127" t="inlineStr">
        <is>
          <t>ASKERSUND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46661-2022</t>
        </is>
      </c>
      <c r="B128" s="1" t="n">
        <v>44850</v>
      </c>
      <c r="C128" s="1" t="n">
        <v>46186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11161-2022</t>
        </is>
      </c>
      <c r="B129" s="1" t="n">
        <v>44629</v>
      </c>
      <c r="C129" s="1" t="n">
        <v>46186</v>
      </c>
      <c r="D129" t="inlineStr">
        <is>
          <t>ÖREBRO LÄN</t>
        </is>
      </c>
      <c r="E129" t="inlineStr">
        <is>
          <t>ASKERSUND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37393-2021</t>
        </is>
      </c>
      <c r="B130" s="1" t="n">
        <v>44398</v>
      </c>
      <c r="C130" s="1" t="n">
        <v>46186</v>
      </c>
      <c r="D130" t="inlineStr">
        <is>
          <t>ÖREBRO LÄN</t>
        </is>
      </c>
      <c r="E130" t="inlineStr">
        <is>
          <t>ASKERSUND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46186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12302-2022</t>
        </is>
      </c>
      <c r="B132" s="1" t="n">
        <v>44637</v>
      </c>
      <c r="C132" s="1" t="n">
        <v>46186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44978-2021</t>
        </is>
      </c>
      <c r="B133" s="1" t="n">
        <v>44438</v>
      </c>
      <c r="C133" s="1" t="n">
        <v>46186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46186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42495-2022</t>
        </is>
      </c>
      <c r="B135" s="1" t="n">
        <v>44831</v>
      </c>
      <c r="C135" s="1" t="n">
        <v>46186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12465-2022</t>
        </is>
      </c>
      <c r="B136" s="1" t="n">
        <v>44638</v>
      </c>
      <c r="C136" s="1" t="n">
        <v>46186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22665-2022</t>
        </is>
      </c>
      <c r="B137" s="1" t="n">
        <v>44714</v>
      </c>
      <c r="C137" s="1" t="n">
        <v>46186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63941-2021</t>
        </is>
      </c>
      <c r="B138" s="1" t="n">
        <v>44509.7458449074</v>
      </c>
      <c r="C138" s="1" t="n">
        <v>46186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55053-2021</t>
        </is>
      </c>
      <c r="B139" s="1" t="n">
        <v>44474</v>
      </c>
      <c r="C139" s="1" t="n">
        <v>46186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12289-2022</t>
        </is>
      </c>
      <c r="B140" s="1" t="n">
        <v>44637</v>
      </c>
      <c r="C140" s="1" t="n">
        <v>46186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12290-2022</t>
        </is>
      </c>
      <c r="B141" s="1" t="n">
        <v>44637</v>
      </c>
      <c r="C141" s="1" t="n">
        <v>46186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57906-2021</t>
        </is>
      </c>
      <c r="B142" s="1" t="n">
        <v>44486</v>
      </c>
      <c r="C142" s="1" t="n">
        <v>46186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25963-2022</t>
        </is>
      </c>
      <c r="B143" s="1" t="n">
        <v>44734</v>
      </c>
      <c r="C143" s="1" t="n">
        <v>46186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41249-2021</t>
        </is>
      </c>
      <c r="B144" s="1" t="n">
        <v>44424</v>
      </c>
      <c r="C144" s="1" t="n">
        <v>46186</v>
      </c>
      <c r="D144" t="inlineStr">
        <is>
          <t>ÖREBRO LÄN</t>
        </is>
      </c>
      <c r="E144" t="inlineStr">
        <is>
          <t>ASKERSUND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51205-2021</t>
        </is>
      </c>
      <c r="B145" s="1" t="n">
        <v>44461.49383101852</v>
      </c>
      <c r="C145" s="1" t="n">
        <v>46186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34998-2022</t>
        </is>
      </c>
      <c r="B146" s="1" t="n">
        <v>44796</v>
      </c>
      <c r="C146" s="1" t="n">
        <v>46186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65000-2021</t>
        </is>
      </c>
      <c r="B147" s="1" t="n">
        <v>44514</v>
      </c>
      <c r="C147" s="1" t="n">
        <v>46186</v>
      </c>
      <c r="D147" t="inlineStr">
        <is>
          <t>ÖREBRO LÄN</t>
        </is>
      </c>
      <c r="E147" t="inlineStr">
        <is>
          <t>ASKERSUND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12730-2022</t>
        </is>
      </c>
      <c r="B148" s="1" t="n">
        <v>44641</v>
      </c>
      <c r="C148" s="1" t="n">
        <v>46186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67275-2021</t>
        </is>
      </c>
      <c r="B149" s="1" t="n">
        <v>44523</v>
      </c>
      <c r="C149" s="1" t="n">
        <v>46186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46186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13997-2022</t>
        </is>
      </c>
      <c r="B151" s="1" t="n">
        <v>44650</v>
      </c>
      <c r="C151" s="1" t="n">
        <v>46186</v>
      </c>
      <c r="D151" t="inlineStr">
        <is>
          <t>ÖREBRO LÄN</t>
        </is>
      </c>
      <c r="E151" t="inlineStr">
        <is>
          <t>ASKERSUND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39605-2021</t>
        </is>
      </c>
      <c r="B152" s="1" t="n">
        <v>44413</v>
      </c>
      <c r="C152" s="1" t="n">
        <v>46186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36504-2021</t>
        </is>
      </c>
      <c r="B153" s="1" t="n">
        <v>44391</v>
      </c>
      <c r="C153" s="1" t="n">
        <v>46186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5504-2022</t>
        </is>
      </c>
      <c r="B154" s="1" t="n">
        <v>44595</v>
      </c>
      <c r="C154" s="1" t="n">
        <v>46186</v>
      </c>
      <c r="D154" t="inlineStr">
        <is>
          <t>ÖREBRO LÄN</t>
        </is>
      </c>
      <c r="E154" t="inlineStr">
        <is>
          <t>ASKERSUND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43421-2021</t>
        </is>
      </c>
      <c r="B155" s="1" t="n">
        <v>44432.64310185185</v>
      </c>
      <c r="C155" s="1" t="n">
        <v>46186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60961-2021</t>
        </is>
      </c>
      <c r="B156" s="1" t="n">
        <v>44497</v>
      </c>
      <c r="C156" s="1" t="n">
        <v>46186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48869-2022</t>
        </is>
      </c>
      <c r="B157" s="1" t="n">
        <v>44859.72824074074</v>
      </c>
      <c r="C157" s="1" t="n">
        <v>46186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2991-2023</t>
        </is>
      </c>
      <c r="B158" s="1" t="n">
        <v>44945.72797453704</v>
      </c>
      <c r="C158" s="1" t="n">
        <v>46186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7544-2024</t>
        </is>
      </c>
      <c r="B159" s="1" t="n">
        <v>45348</v>
      </c>
      <c r="C159" s="1" t="n">
        <v>46186</v>
      </c>
      <c r="D159" t="inlineStr">
        <is>
          <t>ÖREBRO LÄN</t>
        </is>
      </c>
      <c r="E159" t="inlineStr">
        <is>
          <t>ASKERSUND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18672-2022</t>
        </is>
      </c>
      <c r="B160" s="1" t="n">
        <v>44687.54699074074</v>
      </c>
      <c r="C160" s="1" t="n">
        <v>46186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11635-2024</t>
        </is>
      </c>
      <c r="B161" s="1" t="n">
        <v>45373</v>
      </c>
      <c r="C161" s="1" t="n">
        <v>46186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52289-2023</t>
        </is>
      </c>
      <c r="B162" s="1" t="n">
        <v>45224.59074074074</v>
      </c>
      <c r="C162" s="1" t="n">
        <v>46186</v>
      </c>
      <c r="D162" t="inlineStr">
        <is>
          <t>ÖREBRO LÄN</t>
        </is>
      </c>
      <c r="E162" t="inlineStr">
        <is>
          <t>ASKERSUND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23807-2023</t>
        </is>
      </c>
      <c r="B163" s="1" t="n">
        <v>45078</v>
      </c>
      <c r="C163" s="1" t="n">
        <v>46186</v>
      </c>
      <c r="D163" t="inlineStr">
        <is>
          <t>ÖREBRO LÄN</t>
        </is>
      </c>
      <c r="E163" t="inlineStr">
        <is>
          <t>ASKERSUND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63422-2021</t>
        </is>
      </c>
      <c r="B164" s="1" t="n">
        <v>44508</v>
      </c>
      <c r="C164" s="1" t="n">
        <v>46186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7704-2022</t>
        </is>
      </c>
      <c r="B165" s="1" t="n">
        <v>44608</v>
      </c>
      <c r="C165" s="1" t="n">
        <v>46186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7713-2022</t>
        </is>
      </c>
      <c r="B166" s="1" t="n">
        <v>44608.32383101852</v>
      </c>
      <c r="C166" s="1" t="n">
        <v>46186</v>
      </c>
      <c r="D166" t="inlineStr">
        <is>
          <t>ÖREBRO LÄN</t>
        </is>
      </c>
      <c r="E166" t="inlineStr">
        <is>
          <t>ASKERSUND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7730-2022</t>
        </is>
      </c>
      <c r="B167" s="1" t="n">
        <v>44608</v>
      </c>
      <c r="C167" s="1" t="n">
        <v>46186</v>
      </c>
      <c r="D167" t="inlineStr">
        <is>
          <t>ÖREBRO LÄN</t>
        </is>
      </c>
      <c r="E167" t="inlineStr">
        <is>
          <t>ASKERSUND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38624-2023</t>
        </is>
      </c>
      <c r="B168" s="1" t="n">
        <v>45162</v>
      </c>
      <c r="C168" s="1" t="n">
        <v>46186</v>
      </c>
      <c r="D168" t="inlineStr">
        <is>
          <t>ÖREBRO LÄN</t>
        </is>
      </c>
      <c r="E168" t="inlineStr">
        <is>
          <t>ASKERSUND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48619-2025</t>
        </is>
      </c>
      <c r="B169" s="1" t="n">
        <v>45936.49065972222</v>
      </c>
      <c r="C169" s="1" t="n">
        <v>46186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916-2025</t>
        </is>
      </c>
      <c r="B170" s="1" t="n">
        <v>45664</v>
      </c>
      <c r="C170" s="1" t="n">
        <v>46186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48860-2022</t>
        </is>
      </c>
      <c r="B171" s="1" t="n">
        <v>44859.69508101852</v>
      </c>
      <c r="C171" s="1" t="n">
        <v>46186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49924-2025</t>
        </is>
      </c>
      <c r="B172" s="1" t="n">
        <v>45940.64311342593</v>
      </c>
      <c r="C172" s="1" t="n">
        <v>46186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27835-2025</t>
        </is>
      </c>
      <c r="B173" s="1" t="n">
        <v>45817.37068287037</v>
      </c>
      <c r="C173" s="1" t="n">
        <v>46186</v>
      </c>
      <c r="D173" t="inlineStr">
        <is>
          <t>ÖREBRO LÄN</t>
        </is>
      </c>
      <c r="E173" t="inlineStr">
        <is>
          <t>ASKERSUND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21048-2025</t>
        </is>
      </c>
      <c r="B174" s="1" t="n">
        <v>45777.55945601852</v>
      </c>
      <c r="C174" s="1" t="n">
        <v>46186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46174-2021</t>
        </is>
      </c>
      <c r="B175" s="1" t="n">
        <v>44442</v>
      </c>
      <c r="C175" s="1" t="n">
        <v>46186</v>
      </c>
      <c r="D175" t="inlineStr">
        <is>
          <t>ÖREBRO LÄN</t>
        </is>
      </c>
      <c r="E175" t="inlineStr">
        <is>
          <t>ASKERSUND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38824-2025</t>
        </is>
      </c>
      <c r="B176" s="1" t="n">
        <v>45887</v>
      </c>
      <c r="C176" s="1" t="n">
        <v>46186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29229-2023</t>
        </is>
      </c>
      <c r="B177" s="1" t="n">
        <v>45105.6140625</v>
      </c>
      <c r="C177" s="1" t="n">
        <v>46186</v>
      </c>
      <c r="D177" t="inlineStr">
        <is>
          <t>ÖREBRO LÄN</t>
        </is>
      </c>
      <c r="E177" t="inlineStr">
        <is>
          <t>ASKERSUND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44938-2021</t>
        </is>
      </c>
      <c r="B178" s="1" t="n">
        <v>44438</v>
      </c>
      <c r="C178" s="1" t="n">
        <v>46186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50416-2024</t>
        </is>
      </c>
      <c r="B179" s="1" t="n">
        <v>45601.37609953704</v>
      </c>
      <c r="C179" s="1" t="n">
        <v>46186</v>
      </c>
      <c r="D179" t="inlineStr">
        <is>
          <t>ÖREBRO LÄN</t>
        </is>
      </c>
      <c r="E179" t="inlineStr">
        <is>
          <t>ASKERSUND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32994-2024</t>
        </is>
      </c>
      <c r="B180" s="1" t="n">
        <v>45517.47724537037</v>
      </c>
      <c r="C180" s="1" t="n">
        <v>46186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1813-2024</t>
        </is>
      </c>
      <c r="B181" s="1" t="n">
        <v>45307.60575231481</v>
      </c>
      <c r="C181" s="1" t="n">
        <v>46186</v>
      </c>
      <c r="D181" t="inlineStr">
        <is>
          <t>ÖREBRO LÄN</t>
        </is>
      </c>
      <c r="E181" t="inlineStr">
        <is>
          <t>ASKERSUND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39908-2025</t>
        </is>
      </c>
      <c r="B182" s="1" t="n">
        <v>45891</v>
      </c>
      <c r="C182" s="1" t="n">
        <v>46186</v>
      </c>
      <c r="D182" t="inlineStr">
        <is>
          <t>ÖREBRO LÄN</t>
        </is>
      </c>
      <c r="E182" t="inlineStr">
        <is>
          <t>ASKERSUND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46186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53286-2025</t>
        </is>
      </c>
      <c r="B184" s="1" t="n">
        <v>45958</v>
      </c>
      <c r="C184" s="1" t="n">
        <v>46186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54142-2025</t>
        </is>
      </c>
      <c r="B185" s="1" t="n">
        <v>45964.47820601852</v>
      </c>
      <c r="C185" s="1" t="n">
        <v>46186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27814-2025</t>
        </is>
      </c>
      <c r="B186" s="1" t="n">
        <v>45817.32715277778</v>
      </c>
      <c r="C186" s="1" t="n">
        <v>46186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41073-2024</t>
        </is>
      </c>
      <c r="B187" s="1" t="n">
        <v>45559.39498842593</v>
      </c>
      <c r="C187" s="1" t="n">
        <v>46186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54153-2025</t>
        </is>
      </c>
      <c r="B188" s="1" t="n">
        <v>45964.49197916667</v>
      </c>
      <c r="C188" s="1" t="n">
        <v>46186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54154-2025</t>
        </is>
      </c>
      <c r="B189" s="1" t="n">
        <v>45964.49260416667</v>
      </c>
      <c r="C189" s="1" t="n">
        <v>46186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14497-2025</t>
        </is>
      </c>
      <c r="B190" s="1" t="n">
        <v>45741.61515046296</v>
      </c>
      <c r="C190" s="1" t="n">
        <v>46186</v>
      </c>
      <c r="D190" t="inlineStr">
        <is>
          <t>ÖREBRO LÄN</t>
        </is>
      </c>
      <c r="E190" t="inlineStr">
        <is>
          <t>ASKERSUND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40745-2025</t>
        </is>
      </c>
      <c r="B191" s="1" t="n">
        <v>45897.37609953704</v>
      </c>
      <c r="C191" s="1" t="n">
        <v>46186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1341-2024</t>
        </is>
      </c>
      <c r="B192" s="1" t="n">
        <v>45303.44383101852</v>
      </c>
      <c r="C192" s="1" t="n">
        <v>46186</v>
      </c>
      <c r="D192" t="inlineStr">
        <is>
          <t>ÖREBRO LÄN</t>
        </is>
      </c>
      <c r="E192" t="inlineStr">
        <is>
          <t>ASKERSUND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26752-2024</t>
        </is>
      </c>
      <c r="B193" s="1" t="n">
        <v>45470.45872685185</v>
      </c>
      <c r="C193" s="1" t="n">
        <v>46186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40587-2025</t>
        </is>
      </c>
      <c r="B194" s="1" t="n">
        <v>45896.52702546296</v>
      </c>
      <c r="C194" s="1" t="n">
        <v>46186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54169-2025</t>
        </is>
      </c>
      <c r="B195" s="1" t="n">
        <v>45964.52699074074</v>
      </c>
      <c r="C195" s="1" t="n">
        <v>46186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54170-2025</t>
        </is>
      </c>
      <c r="B196" s="1" t="n">
        <v>45964.52752314815</v>
      </c>
      <c r="C196" s="1" t="n">
        <v>46186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9437-2025</t>
        </is>
      </c>
      <c r="B197" s="1" t="n">
        <v>45715.4134375</v>
      </c>
      <c r="C197" s="1" t="n">
        <v>46186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60965-2021</t>
        </is>
      </c>
      <c r="B198" s="1" t="n">
        <v>44497</v>
      </c>
      <c r="C198" s="1" t="n">
        <v>46186</v>
      </c>
      <c r="D198" t="inlineStr">
        <is>
          <t>ÖREBRO LÄN</t>
        </is>
      </c>
      <c r="E198" t="inlineStr">
        <is>
          <t>ASKERSUND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16292-2024</t>
        </is>
      </c>
      <c r="B199" s="1" t="n">
        <v>45407</v>
      </c>
      <c r="C199" s="1" t="n">
        <v>46186</v>
      </c>
      <c r="D199" t="inlineStr">
        <is>
          <t>ÖREBRO LÄN</t>
        </is>
      </c>
      <c r="E199" t="inlineStr">
        <is>
          <t>ASKERSUND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46186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11625-2022</t>
        </is>
      </c>
      <c r="B201" s="1" t="n">
        <v>44631</v>
      </c>
      <c r="C201" s="1" t="n">
        <v>46186</v>
      </c>
      <c r="D201" t="inlineStr">
        <is>
          <t>ÖREBRO LÄN</t>
        </is>
      </c>
      <c r="E201" t="inlineStr">
        <is>
          <t>ASKERSUND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62109-2024</t>
        </is>
      </c>
      <c r="B202" s="1" t="n">
        <v>45656</v>
      </c>
      <c r="C202" s="1" t="n">
        <v>46186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42100-2025</t>
        </is>
      </c>
      <c r="B203" s="1" t="n">
        <v>45903.77434027778</v>
      </c>
      <c r="C203" s="1" t="n">
        <v>46186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23418-2024</t>
        </is>
      </c>
      <c r="B204" s="1" t="n">
        <v>45453.59858796297</v>
      </c>
      <c r="C204" s="1" t="n">
        <v>46186</v>
      </c>
      <c r="D204" t="inlineStr">
        <is>
          <t>ÖREBRO LÄN</t>
        </is>
      </c>
      <c r="E204" t="inlineStr">
        <is>
          <t>ASKERSUND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23420-2024</t>
        </is>
      </c>
      <c r="B205" s="1" t="n">
        <v>45453.6003587963</v>
      </c>
      <c r="C205" s="1" t="n">
        <v>46186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1412-2025</t>
        </is>
      </c>
      <c r="B206" s="1" t="n">
        <v>45667.99460648148</v>
      </c>
      <c r="C206" s="1" t="n">
        <v>46186</v>
      </c>
      <c r="D206" t="inlineStr">
        <is>
          <t>ÖREBRO LÄN</t>
        </is>
      </c>
      <c r="E206" t="inlineStr">
        <is>
          <t>ASKERSUND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54393-2024</t>
        </is>
      </c>
      <c r="B207" s="1" t="n">
        <v>45617.45731481481</v>
      </c>
      <c r="C207" s="1" t="n">
        <v>46186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43578-2024</t>
        </is>
      </c>
      <c r="B208" s="1" t="n">
        <v>45569.41788194444</v>
      </c>
      <c r="C208" s="1" t="n">
        <v>46186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46186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3679-2023</t>
        </is>
      </c>
      <c r="B210" s="1" t="n">
        <v>44950.89840277778</v>
      </c>
      <c r="C210" s="1" t="n">
        <v>46186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50102-2024</t>
        </is>
      </c>
      <c r="B211" s="1" t="n">
        <v>45599</v>
      </c>
      <c r="C211" s="1" t="n">
        <v>46186</v>
      </c>
      <c r="D211" t="inlineStr">
        <is>
          <t>ÖREBRO LÄN</t>
        </is>
      </c>
      <c r="E211" t="inlineStr">
        <is>
          <t>ASKERSUND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56221-2025</t>
        </is>
      </c>
      <c r="B212" s="1" t="n">
        <v>45974.49936342592</v>
      </c>
      <c r="C212" s="1" t="n">
        <v>46186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55047-2021</t>
        </is>
      </c>
      <c r="B213" s="1" t="n">
        <v>44474</v>
      </c>
      <c r="C213" s="1" t="n">
        <v>46186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59538-2023</t>
        </is>
      </c>
      <c r="B214" s="1" t="n">
        <v>45254</v>
      </c>
      <c r="C214" s="1" t="n">
        <v>46186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60357-2023</t>
        </is>
      </c>
      <c r="B215" s="1" t="n">
        <v>45258</v>
      </c>
      <c r="C215" s="1" t="n">
        <v>46186</v>
      </c>
      <c r="D215" t="inlineStr">
        <is>
          <t>ÖREBRO LÄN</t>
        </is>
      </c>
      <c r="E215" t="inlineStr">
        <is>
          <t>ASKERSUND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22999-2025</t>
        </is>
      </c>
      <c r="B216" s="1" t="n">
        <v>45790.58875</v>
      </c>
      <c r="C216" s="1" t="n">
        <v>46186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44679-2025</t>
        </is>
      </c>
      <c r="B217" s="1" t="n">
        <v>45917</v>
      </c>
      <c r="C217" s="1" t="n">
        <v>46186</v>
      </c>
      <c r="D217" t="inlineStr">
        <is>
          <t>ÖREBRO LÄN</t>
        </is>
      </c>
      <c r="E217" t="inlineStr">
        <is>
          <t>ASKERSUND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48746-2023</t>
        </is>
      </c>
      <c r="B218" s="1" t="n">
        <v>45208</v>
      </c>
      <c r="C218" s="1" t="n">
        <v>46186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25972-2022</t>
        </is>
      </c>
      <c r="B219" s="1" t="n">
        <v>44734</v>
      </c>
      <c r="C219" s="1" t="n">
        <v>46186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31506-2023</t>
        </is>
      </c>
      <c r="B220" s="1" t="n">
        <v>45115</v>
      </c>
      <c r="C220" s="1" t="n">
        <v>46186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31509-2023</t>
        </is>
      </c>
      <c r="B221" s="1" t="n">
        <v>45115</v>
      </c>
      <c r="C221" s="1" t="n">
        <v>46186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45543-2025</t>
        </is>
      </c>
      <c r="B222" s="1" t="n">
        <v>45922.62282407407</v>
      </c>
      <c r="C222" s="1" t="n">
        <v>46186</v>
      </c>
      <c r="D222" t="inlineStr">
        <is>
          <t>ÖREBRO LÄN</t>
        </is>
      </c>
      <c r="E222" t="inlineStr">
        <is>
          <t>ASKERSUND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58726-2025</t>
        </is>
      </c>
      <c r="B223" s="1" t="n">
        <v>45986</v>
      </c>
      <c r="C223" s="1" t="n">
        <v>46186</v>
      </c>
      <c r="D223" t="inlineStr">
        <is>
          <t>ÖREBRO LÄN</t>
        </is>
      </c>
      <c r="E223" t="inlineStr">
        <is>
          <t>ASKERSUND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45501-2025</t>
        </is>
      </c>
      <c r="B224" s="1" t="n">
        <v>45922.57255787037</v>
      </c>
      <c r="C224" s="1" t="n">
        <v>46186</v>
      </c>
      <c r="D224" t="inlineStr">
        <is>
          <t>ÖREBRO LÄN</t>
        </is>
      </c>
      <c r="E224" t="inlineStr">
        <is>
          <t>ASKERSUND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58806-2025</t>
        </is>
      </c>
      <c r="B225" s="1" t="n">
        <v>45987</v>
      </c>
      <c r="C225" s="1" t="n">
        <v>46186</v>
      </c>
      <c r="D225" t="inlineStr">
        <is>
          <t>ÖREBRO LÄN</t>
        </is>
      </c>
      <c r="E225" t="inlineStr">
        <is>
          <t>ASKERSUND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59238-2025</t>
        </is>
      </c>
      <c r="B226" s="1" t="n">
        <v>45988.63296296296</v>
      </c>
      <c r="C226" s="1" t="n">
        <v>46186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59236-2025</t>
        </is>
      </c>
      <c r="B227" s="1" t="n">
        <v>45988.63138888889</v>
      </c>
      <c r="C227" s="1" t="n">
        <v>46186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59232-2025</t>
        </is>
      </c>
      <c r="B228" s="1" t="n">
        <v>45988.62762731482</v>
      </c>
      <c r="C228" s="1" t="n">
        <v>46186</v>
      </c>
      <c r="D228" t="inlineStr">
        <is>
          <t>ÖREBRO LÄN</t>
        </is>
      </c>
      <c r="E228" t="inlineStr">
        <is>
          <t>ASKERSUND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59235-2025</t>
        </is>
      </c>
      <c r="B229" s="1" t="n">
        <v>45988.62976851852</v>
      </c>
      <c r="C229" s="1" t="n">
        <v>46186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37294-2021</t>
        </is>
      </c>
      <c r="B230" s="1" t="n">
        <v>44397</v>
      </c>
      <c r="C230" s="1" t="n">
        <v>46186</v>
      </c>
      <c r="D230" t="inlineStr">
        <is>
          <t>ÖREBRO LÄN</t>
        </is>
      </c>
      <c r="E230" t="inlineStr">
        <is>
          <t>ASKERSUND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5044-2022</t>
        </is>
      </c>
      <c r="B231" s="1" t="n">
        <v>44593</v>
      </c>
      <c r="C231" s="1" t="n">
        <v>46186</v>
      </c>
      <c r="D231" t="inlineStr">
        <is>
          <t>ÖREBRO LÄN</t>
        </is>
      </c>
      <c r="E231" t="inlineStr">
        <is>
          <t>ASKERSUND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60224-2025</t>
        </is>
      </c>
      <c r="B232" s="1" t="n">
        <v>45994.54824074074</v>
      </c>
      <c r="C232" s="1" t="n">
        <v>46186</v>
      </c>
      <c r="D232" t="inlineStr">
        <is>
          <t>ÖREBRO LÄN</t>
        </is>
      </c>
      <c r="E232" t="inlineStr">
        <is>
          <t>ASKERSUND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23514-2024</t>
        </is>
      </c>
      <c r="B233" s="1" t="n">
        <v>45453.84284722222</v>
      </c>
      <c r="C233" s="1" t="n">
        <v>46186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61533-2025</t>
        </is>
      </c>
      <c r="B234" s="1" t="n">
        <v>46001.71209490741</v>
      </c>
      <c r="C234" s="1" t="n">
        <v>46186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47296-2025</t>
        </is>
      </c>
      <c r="B235" s="1" t="n">
        <v>45930.49436342593</v>
      </c>
      <c r="C235" s="1" t="n">
        <v>46186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32040-2024</t>
        </is>
      </c>
      <c r="B236" s="1" t="n">
        <v>45510</v>
      </c>
      <c r="C236" s="1" t="n">
        <v>46186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56967-2023</t>
        </is>
      </c>
      <c r="B237" s="1" t="n">
        <v>45244</v>
      </c>
      <c r="C237" s="1" t="n">
        <v>46186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62550-2025</t>
        </is>
      </c>
      <c r="B238" s="1" t="n">
        <v>46007.67032407408</v>
      </c>
      <c r="C238" s="1" t="n">
        <v>46186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58139-2021</t>
        </is>
      </c>
      <c r="B239" s="1" t="n">
        <v>44487</v>
      </c>
      <c r="C239" s="1" t="n">
        <v>46186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1345-2024</t>
        </is>
      </c>
      <c r="B240" s="1" t="n">
        <v>45303</v>
      </c>
      <c r="C240" s="1" t="n">
        <v>46186</v>
      </c>
      <c r="D240" t="inlineStr">
        <is>
          <t>ÖREBRO LÄN</t>
        </is>
      </c>
      <c r="E240" t="inlineStr">
        <is>
          <t>ASKERSUND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63356-2025</t>
        </is>
      </c>
      <c r="B241" s="1" t="n">
        <v>46010.67173611111</v>
      </c>
      <c r="C241" s="1" t="n">
        <v>46186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50578-2022</t>
        </is>
      </c>
      <c r="B242" s="1" t="n">
        <v>44866.65612268518</v>
      </c>
      <c r="C242" s="1" t="n">
        <v>46186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63546-2025</t>
        </is>
      </c>
      <c r="B243" s="1" t="n">
        <v>46013.59997685185</v>
      </c>
      <c r="C243" s="1" t="n">
        <v>46186</v>
      </c>
      <c r="D243" t="inlineStr">
        <is>
          <t>ÖREBRO LÄN</t>
        </is>
      </c>
      <c r="E243" t="inlineStr">
        <is>
          <t>ASKERSUND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46186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63318-2025</t>
        </is>
      </c>
      <c r="B245" s="1" t="n">
        <v>46010.63524305556</v>
      </c>
      <c r="C245" s="1" t="n">
        <v>46186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22804-2023</t>
        </is>
      </c>
      <c r="B246" s="1" t="n">
        <v>45072.39223379629</v>
      </c>
      <c r="C246" s="1" t="n">
        <v>46186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6821-2023</t>
        </is>
      </c>
      <c r="B247" s="1" t="n">
        <v>44967.39028935185</v>
      </c>
      <c r="C247" s="1" t="n">
        <v>46186</v>
      </c>
      <c r="D247" t="inlineStr">
        <is>
          <t>ÖREBRO LÄN</t>
        </is>
      </c>
      <c r="E247" t="inlineStr">
        <is>
          <t>ASKERSUND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195-2023</t>
        </is>
      </c>
      <c r="B248" s="1" t="n">
        <v>44928</v>
      </c>
      <c r="C248" s="1" t="n">
        <v>46186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1332-2024</t>
        </is>
      </c>
      <c r="B249" s="1" t="n">
        <v>45303</v>
      </c>
      <c r="C249" s="1" t="n">
        <v>46186</v>
      </c>
      <c r="D249" t="inlineStr">
        <is>
          <t>ÖREBRO LÄN</t>
        </is>
      </c>
      <c r="E249" t="inlineStr">
        <is>
          <t>ASKERSUND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28955-2023</t>
        </is>
      </c>
      <c r="B250" s="1" t="n">
        <v>45104</v>
      </c>
      <c r="C250" s="1" t="n">
        <v>46186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642-2022</t>
        </is>
      </c>
      <c r="B251" s="1" t="n">
        <v>44568.39900462963</v>
      </c>
      <c r="C251" s="1" t="n">
        <v>46186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37532-2023</t>
        </is>
      </c>
      <c r="B252" s="1" t="n">
        <v>45158.89597222222</v>
      </c>
      <c r="C252" s="1" t="n">
        <v>46186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1123-2026</t>
        </is>
      </c>
      <c r="B253" s="1" t="n">
        <v>46030.71020833333</v>
      </c>
      <c r="C253" s="1" t="n">
        <v>46186</v>
      </c>
      <c r="D253" t="inlineStr">
        <is>
          <t>ÖREBRO LÄN</t>
        </is>
      </c>
      <c r="E253" t="inlineStr">
        <is>
          <t>ASKERSUND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1125-2026</t>
        </is>
      </c>
      <c r="B254" s="1" t="n">
        <v>46030.71207175926</v>
      </c>
      <c r="C254" s="1" t="n">
        <v>46186</v>
      </c>
      <c r="D254" t="inlineStr">
        <is>
          <t>ÖREBRO LÄN</t>
        </is>
      </c>
      <c r="E254" t="inlineStr">
        <is>
          <t>ASKERSUND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10432-2025</t>
        </is>
      </c>
      <c r="B255" s="1" t="n">
        <v>45720</v>
      </c>
      <c r="C255" s="1" t="n">
        <v>46186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41264-2023</t>
        </is>
      </c>
      <c r="B256" s="1" t="n">
        <v>45170</v>
      </c>
      <c r="C256" s="1" t="n">
        <v>46186</v>
      </c>
      <c r="D256" t="inlineStr">
        <is>
          <t>ÖREBRO LÄN</t>
        </is>
      </c>
      <c r="E256" t="inlineStr">
        <is>
          <t>ASKERSUND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3457-2025</t>
        </is>
      </c>
      <c r="B257" s="1" t="n">
        <v>45680</v>
      </c>
      <c r="C257" s="1" t="n">
        <v>46186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1127-2026</t>
        </is>
      </c>
      <c r="B258" s="1" t="n">
        <v>46030.71740740741</v>
      </c>
      <c r="C258" s="1" t="n">
        <v>46186</v>
      </c>
      <c r="D258" t="inlineStr">
        <is>
          <t>ÖREBRO LÄN</t>
        </is>
      </c>
      <c r="E258" t="inlineStr">
        <is>
          <t>ASKERSUND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45027.51179398148</v>
      </c>
      <c r="C259" s="1" t="n">
        <v>46186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37605-2022</t>
        </is>
      </c>
      <c r="B260" s="1" t="n">
        <v>44809</v>
      </c>
      <c r="C260" s="1" t="n">
        <v>46186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12567-2023</t>
        </is>
      </c>
      <c r="B261" s="1" t="n">
        <v>45000</v>
      </c>
      <c r="C261" s="1" t="n">
        <v>46186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26198-2025</t>
        </is>
      </c>
      <c r="B262" s="1" t="n">
        <v>45805.50146990741</v>
      </c>
      <c r="C262" s="1" t="n">
        <v>46186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1130-2026</t>
        </is>
      </c>
      <c r="B263" s="1" t="n">
        <v>46030</v>
      </c>
      <c r="C263" s="1" t="n">
        <v>46186</v>
      </c>
      <c r="D263" t="inlineStr">
        <is>
          <t>ÖREBRO LÄN</t>
        </is>
      </c>
      <c r="E263" t="inlineStr">
        <is>
          <t>ASKERSUND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3749-2026</t>
        </is>
      </c>
      <c r="B264" s="1" t="n">
        <v>46043.54592592592</v>
      </c>
      <c r="C264" s="1" t="n">
        <v>46186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3526-2026</t>
        </is>
      </c>
      <c r="B265" s="1" t="n">
        <v>46042.60760416667</v>
      </c>
      <c r="C265" s="1" t="n">
        <v>46186</v>
      </c>
      <c r="D265" t="inlineStr">
        <is>
          <t>ÖREBRO LÄN</t>
        </is>
      </c>
      <c r="E265" t="inlineStr">
        <is>
          <t>ASKERSUND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5050-2022</t>
        </is>
      </c>
      <c r="B266" s="1" t="n">
        <v>44593.68526620371</v>
      </c>
      <c r="C266" s="1" t="n">
        <v>46186</v>
      </c>
      <c r="D266" t="inlineStr">
        <is>
          <t>ÖREBRO LÄN</t>
        </is>
      </c>
      <c r="E266" t="inlineStr">
        <is>
          <t>ASKERSUND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3543-2026</t>
        </is>
      </c>
      <c r="B267" s="1" t="n">
        <v>46042.63996527778</v>
      </c>
      <c r="C267" s="1" t="n">
        <v>46186</v>
      </c>
      <c r="D267" t="inlineStr">
        <is>
          <t>ÖREBRO LÄN</t>
        </is>
      </c>
      <c r="E267" t="inlineStr">
        <is>
          <t>ASKERSUND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3551-2026</t>
        </is>
      </c>
      <c r="B268" s="1" t="n">
        <v>46042.64711805555</v>
      </c>
      <c r="C268" s="1" t="n">
        <v>46186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74186-2021</t>
        </is>
      </c>
      <c r="B269" s="1" t="n">
        <v>44558</v>
      </c>
      <c r="C269" s="1" t="n">
        <v>46186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17894-2025</t>
        </is>
      </c>
      <c r="B270" s="1" t="n">
        <v>45758</v>
      </c>
      <c r="C270" s="1" t="n">
        <v>46186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4428-2026</t>
        </is>
      </c>
      <c r="B271" s="1" t="n">
        <v>46045.61797453704</v>
      </c>
      <c r="C271" s="1" t="n">
        <v>46186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8367-2025</t>
        </is>
      </c>
      <c r="B272" s="1" t="n">
        <v>45708.95491898148</v>
      </c>
      <c r="C272" s="1" t="n">
        <v>46186</v>
      </c>
      <c r="D272" t="inlineStr">
        <is>
          <t>ÖREBRO LÄN</t>
        </is>
      </c>
      <c r="E272" t="inlineStr">
        <is>
          <t>ASKERSUND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46616-2023</t>
        </is>
      </c>
      <c r="B273" s="1" t="n">
        <v>45198.40267361111</v>
      </c>
      <c r="C273" s="1" t="n">
        <v>46186</v>
      </c>
      <c r="D273" t="inlineStr">
        <is>
          <t>ÖREBRO LÄN</t>
        </is>
      </c>
      <c r="E273" t="inlineStr">
        <is>
          <t>ASKERSUND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48612-2023</t>
        </is>
      </c>
      <c r="B274" s="1" t="n">
        <v>45208.54440972222</v>
      </c>
      <c r="C274" s="1" t="n">
        <v>46186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62103-2024</t>
        </is>
      </c>
      <c r="B275" s="1" t="n">
        <v>45656</v>
      </c>
      <c r="C275" s="1" t="n">
        <v>46186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62107-2024</t>
        </is>
      </c>
      <c r="B276" s="1" t="n">
        <v>45656</v>
      </c>
      <c r="C276" s="1" t="n">
        <v>46186</v>
      </c>
      <c r="D276" t="inlineStr">
        <is>
          <t>ÖREBRO LÄN</t>
        </is>
      </c>
      <c r="E276" t="inlineStr">
        <is>
          <t>ASKERSUND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62108-2024</t>
        </is>
      </c>
      <c r="B277" s="1" t="n">
        <v>45656</v>
      </c>
      <c r="C277" s="1" t="n">
        <v>46186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48884-2022</t>
        </is>
      </c>
      <c r="B278" s="1" t="n">
        <v>44859.89707175926</v>
      </c>
      <c r="C278" s="1" t="n">
        <v>46186</v>
      </c>
      <c r="D278" t="inlineStr">
        <is>
          <t>ÖREBRO LÄN</t>
        </is>
      </c>
      <c r="E278" t="inlineStr">
        <is>
          <t>ASKERSUND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29522-2024</t>
        </is>
      </c>
      <c r="B279" s="1" t="n">
        <v>45484.44842592593</v>
      </c>
      <c r="C279" s="1" t="n">
        <v>46186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25528-2023</t>
        </is>
      </c>
      <c r="B280" s="1" t="n">
        <v>45089</v>
      </c>
      <c r="C280" s="1" t="n">
        <v>46186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2445-2025</t>
        </is>
      </c>
      <c r="B281" s="1" t="n">
        <v>45674</v>
      </c>
      <c r="C281" s="1" t="n">
        <v>46186</v>
      </c>
      <c r="D281" t="inlineStr">
        <is>
          <t>ÖREBRO LÄN</t>
        </is>
      </c>
      <c r="E281" t="inlineStr">
        <is>
          <t>ASKERSUND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7182-2026</t>
        </is>
      </c>
      <c r="B282" s="1" t="n">
        <v>46058.48521990741</v>
      </c>
      <c r="C282" s="1" t="n">
        <v>46186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43139-2021</t>
        </is>
      </c>
      <c r="B283" s="1" t="n">
        <v>44431</v>
      </c>
      <c r="C283" s="1" t="n">
        <v>46186</v>
      </c>
      <c r="D283" t="inlineStr">
        <is>
          <t>ÖREBRO LÄN</t>
        </is>
      </c>
      <c r="E283" t="inlineStr">
        <is>
          <t>ASKERSUND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41838-2022</t>
        </is>
      </c>
      <c r="B284" s="1" t="n">
        <v>44828</v>
      </c>
      <c r="C284" s="1" t="n">
        <v>46186</v>
      </c>
      <c r="D284" t="inlineStr">
        <is>
          <t>ÖREBRO LÄN</t>
        </is>
      </c>
      <c r="E284" t="inlineStr">
        <is>
          <t>ASKERSUND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50048-2022</t>
        </is>
      </c>
      <c r="B285" s="1" t="n">
        <v>44865.47030092592</v>
      </c>
      <c r="C285" s="1" t="n">
        <v>46186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31120-2024</t>
        </is>
      </c>
      <c r="B286" s="1" t="n">
        <v>45502.59939814815</v>
      </c>
      <c r="C286" s="1" t="n">
        <v>46186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27218-2024</t>
        </is>
      </c>
      <c r="B287" s="1" t="n">
        <v>45471.6228587963</v>
      </c>
      <c r="C287" s="1" t="n">
        <v>46186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29802-2025</t>
        </is>
      </c>
      <c r="B288" s="1" t="n">
        <v>45825.6991550926</v>
      </c>
      <c r="C288" s="1" t="n">
        <v>46186</v>
      </c>
      <c r="D288" t="inlineStr">
        <is>
          <t>ÖREBRO LÄN</t>
        </is>
      </c>
      <c r="E288" t="inlineStr">
        <is>
          <t>ASKERSUND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59920-2023</t>
        </is>
      </c>
      <c r="B289" s="1" t="n">
        <v>45257</v>
      </c>
      <c r="C289" s="1" t="n">
        <v>46186</v>
      </c>
      <c r="D289" t="inlineStr">
        <is>
          <t>ÖREBRO LÄN</t>
        </is>
      </c>
      <c r="E289" t="inlineStr">
        <is>
          <t>ASKERSUND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30006-2024</t>
        </is>
      </c>
      <c r="B290" s="1" t="n">
        <v>45485</v>
      </c>
      <c r="C290" s="1" t="n">
        <v>46186</v>
      </c>
      <c r="D290" t="inlineStr">
        <is>
          <t>ÖREBRO LÄN</t>
        </is>
      </c>
      <c r="E290" t="inlineStr">
        <is>
          <t>ASKERSUND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29985-2024</t>
        </is>
      </c>
      <c r="B291" s="1" t="n">
        <v>45485</v>
      </c>
      <c r="C291" s="1" t="n">
        <v>46186</v>
      </c>
      <c r="D291" t="inlineStr">
        <is>
          <t>ÖREBRO LÄN</t>
        </is>
      </c>
      <c r="E291" t="inlineStr">
        <is>
          <t>ASKERSUND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46186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46186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46186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46186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46186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26485-2022</t>
        </is>
      </c>
      <c r="B297" s="1" t="n">
        <v>44739</v>
      </c>
      <c r="C297" s="1" t="n">
        <v>46186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35450-2021</t>
        </is>
      </c>
      <c r="B298" s="1" t="n">
        <v>44385</v>
      </c>
      <c r="C298" s="1" t="n">
        <v>46186</v>
      </c>
      <c r="D298" t="inlineStr">
        <is>
          <t>ÖREBRO LÄN</t>
        </is>
      </c>
      <c r="E298" t="inlineStr">
        <is>
          <t>ASKERSUND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44972-2021</t>
        </is>
      </c>
      <c r="B299" s="1" t="n">
        <v>44438</v>
      </c>
      <c r="C299" s="1" t="n">
        <v>46186</v>
      </c>
      <c r="D299" t="inlineStr">
        <is>
          <t>ÖREBRO LÄN</t>
        </is>
      </c>
      <c r="E299" t="inlineStr">
        <is>
          <t>ASKERSUND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12797-2025</t>
        </is>
      </c>
      <c r="B300" s="1" t="n">
        <v>45733.61097222222</v>
      </c>
      <c r="C300" s="1" t="n">
        <v>46186</v>
      </c>
      <c r="D300" t="inlineStr">
        <is>
          <t>ÖREBRO LÄN</t>
        </is>
      </c>
      <c r="E300" t="inlineStr">
        <is>
          <t>ASKERSUND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60114-2024</t>
        </is>
      </c>
      <c r="B301" s="1" t="n">
        <v>45642</v>
      </c>
      <c r="C301" s="1" t="n">
        <v>46186</v>
      </c>
      <c r="D301" t="inlineStr">
        <is>
          <t>ÖREBRO LÄN</t>
        </is>
      </c>
      <c r="E301" t="inlineStr">
        <is>
          <t>ASKERSUND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33151-2021</t>
        </is>
      </c>
      <c r="B302" s="1" t="n">
        <v>44376.67820601852</v>
      </c>
      <c r="C302" s="1" t="n">
        <v>46186</v>
      </c>
      <c r="D302" t="inlineStr">
        <is>
          <t>ÖREBRO LÄN</t>
        </is>
      </c>
      <c r="E302" t="inlineStr">
        <is>
          <t>ASKERSUND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46186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2295-2023</t>
        </is>
      </c>
      <c r="B304" s="1" t="n">
        <v>44942</v>
      </c>
      <c r="C304" s="1" t="n">
        <v>46186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8988-2026</t>
        </is>
      </c>
      <c r="B305" s="1" t="n">
        <v>46069.45594907407</v>
      </c>
      <c r="C305" s="1" t="n">
        <v>46186</v>
      </c>
      <c r="D305" t="inlineStr">
        <is>
          <t>ÖREBRO LÄN</t>
        </is>
      </c>
      <c r="E305" t="inlineStr">
        <is>
          <t>ASKERSUND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8961-2026</t>
        </is>
      </c>
      <c r="B306" s="1" t="n">
        <v>46069.41380787037</v>
      </c>
      <c r="C306" s="1" t="n">
        <v>46186</v>
      </c>
      <c r="D306" t="inlineStr">
        <is>
          <t>ÖREBRO LÄN</t>
        </is>
      </c>
      <c r="E306" t="inlineStr">
        <is>
          <t>ASKERSUND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55591-2023</t>
        </is>
      </c>
      <c r="B307" s="1" t="n">
        <v>45238</v>
      </c>
      <c r="C307" s="1" t="n">
        <v>46186</v>
      </c>
      <c r="D307" t="inlineStr">
        <is>
          <t>ÖREBRO LÄN</t>
        </is>
      </c>
      <c r="E307" t="inlineStr">
        <is>
          <t>ASKERSUND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36503-2021</t>
        </is>
      </c>
      <c r="B308" s="1" t="n">
        <v>44391.40619212963</v>
      </c>
      <c r="C308" s="1" t="n">
        <v>46186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9400-2026</t>
        </is>
      </c>
      <c r="B309" s="1" t="n">
        <v>46071.38994212963</v>
      </c>
      <c r="C309" s="1" t="n">
        <v>46186</v>
      </c>
      <c r="D309" t="inlineStr">
        <is>
          <t>ÖREBRO LÄN</t>
        </is>
      </c>
      <c r="E309" t="inlineStr">
        <is>
          <t>ASKERSUND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9575-2026</t>
        </is>
      </c>
      <c r="B310" s="1" t="n">
        <v>46071.66849537037</v>
      </c>
      <c r="C310" s="1" t="n">
        <v>46186</v>
      </c>
      <c r="D310" t="inlineStr">
        <is>
          <t>ÖREBRO LÄN</t>
        </is>
      </c>
      <c r="E310" t="inlineStr">
        <is>
          <t>ASKERSUND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22805-2023</t>
        </is>
      </c>
      <c r="B311" s="1" t="n">
        <v>45072.3937037037</v>
      </c>
      <c r="C311" s="1" t="n">
        <v>46186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62584-2021</t>
        </is>
      </c>
      <c r="B312" s="1" t="n">
        <v>44503.65924768519</v>
      </c>
      <c r="C312" s="1" t="n">
        <v>46186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49541-2023</t>
        </is>
      </c>
      <c r="B313" s="1" t="n">
        <v>45211</v>
      </c>
      <c r="C313" s="1" t="n">
        <v>46186</v>
      </c>
      <c r="D313" t="inlineStr">
        <is>
          <t>ÖREBRO LÄN</t>
        </is>
      </c>
      <c r="E313" t="inlineStr">
        <is>
          <t>ASKERSUND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29235-2023</t>
        </is>
      </c>
      <c r="B314" s="1" t="n">
        <v>45105.61784722222</v>
      </c>
      <c r="C314" s="1" t="n">
        <v>46186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21055-2024</t>
        </is>
      </c>
      <c r="B315" s="1" t="n">
        <v>45439.70784722222</v>
      </c>
      <c r="C315" s="1" t="n">
        <v>46186</v>
      </c>
      <c r="D315" t="inlineStr">
        <is>
          <t>ÖREBRO LÄN</t>
        </is>
      </c>
      <c r="E315" t="inlineStr">
        <is>
          <t>ASKERSUND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11229-2026</t>
        </is>
      </c>
      <c r="B316" s="1" t="n">
        <v>46080</v>
      </c>
      <c r="C316" s="1" t="n">
        <v>46186</v>
      </c>
      <c r="D316" t="inlineStr">
        <is>
          <t>ÖREBRO LÄN</t>
        </is>
      </c>
      <c r="E316" t="inlineStr">
        <is>
          <t>ASKERSUND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28555-2023</t>
        </is>
      </c>
      <c r="B317" s="1" t="n">
        <v>45103.51847222223</v>
      </c>
      <c r="C317" s="1" t="n">
        <v>46186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32145-2025</t>
        </is>
      </c>
      <c r="B318" s="1" t="n">
        <v>45835.52680555556</v>
      </c>
      <c r="C318" s="1" t="n">
        <v>46186</v>
      </c>
      <c r="D318" t="inlineStr">
        <is>
          <t>ÖREBRO LÄN</t>
        </is>
      </c>
      <c r="E318" t="inlineStr">
        <is>
          <t>ASKERSUND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8298-2022</t>
        </is>
      </c>
      <c r="B319" s="1" t="n">
        <v>44610</v>
      </c>
      <c r="C319" s="1" t="n">
        <v>46186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11836-2025</t>
        </is>
      </c>
      <c r="B320" s="1" t="n">
        <v>45728.35930555555</v>
      </c>
      <c r="C320" s="1" t="n">
        <v>46186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7374-2022</t>
        </is>
      </c>
      <c r="B321" s="1" t="n">
        <v>44606.59967592593</v>
      </c>
      <c r="C321" s="1" t="n">
        <v>46186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11988-2026</t>
        </is>
      </c>
      <c r="B322" s="1" t="n">
        <v>46085</v>
      </c>
      <c r="C322" s="1" t="n">
        <v>46186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33200-2025</t>
        </is>
      </c>
      <c r="B323" s="1" t="n">
        <v>45840.60550925926</v>
      </c>
      <c r="C323" s="1" t="n">
        <v>46186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34434-2025</t>
        </is>
      </c>
      <c r="B324" s="1" t="n">
        <v>45846.67712962963</v>
      </c>
      <c r="C324" s="1" t="n">
        <v>46186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64614-2021</t>
        </is>
      </c>
      <c r="B325" s="1" t="n">
        <v>44511</v>
      </c>
      <c r="C325" s="1" t="n">
        <v>46186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51897-2024</t>
        </is>
      </c>
      <c r="B326" s="1" t="n">
        <v>45607</v>
      </c>
      <c r="C326" s="1" t="n">
        <v>46186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13648-2026</t>
        </is>
      </c>
      <c r="B327" s="1" t="n">
        <v>46095</v>
      </c>
      <c r="C327" s="1" t="n">
        <v>46186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14225-2026</t>
        </is>
      </c>
      <c r="B328" s="1" t="n">
        <v>46099.57572916667</v>
      </c>
      <c r="C328" s="1" t="n">
        <v>46186</v>
      </c>
      <c r="D328" t="inlineStr">
        <is>
          <t>ÖREBRO LÄN</t>
        </is>
      </c>
      <c r="E328" t="inlineStr">
        <is>
          <t>ASKERSUND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59940-2023</t>
        </is>
      </c>
      <c r="B329" s="1" t="n">
        <v>45257.67709490741</v>
      </c>
      <c r="C329" s="1" t="n">
        <v>46186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43958-2024</t>
        </is>
      </c>
      <c r="B330" s="1" t="n">
        <v>45572.47811342592</v>
      </c>
      <c r="C330" s="1" t="n">
        <v>46186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14598-2025</t>
        </is>
      </c>
      <c r="B331" s="1" t="n">
        <v>45742.36125</v>
      </c>
      <c r="C331" s="1" t="n">
        <v>46186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20184-2024</t>
        </is>
      </c>
      <c r="B332" s="1" t="n">
        <v>45434.62350694444</v>
      </c>
      <c r="C332" s="1" t="n">
        <v>46186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1359-2022</t>
        </is>
      </c>
      <c r="B333" s="1" t="n">
        <v>44573</v>
      </c>
      <c r="C333" s="1" t="n">
        <v>46186</v>
      </c>
      <c r="D333" t="inlineStr">
        <is>
          <t>ÖREBRO LÄN</t>
        </is>
      </c>
      <c r="E333" t="inlineStr">
        <is>
          <t>ASKERSUND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59349-2023</t>
        </is>
      </c>
      <c r="B334" s="1" t="n">
        <v>45253.65600694445</v>
      </c>
      <c r="C334" s="1" t="n">
        <v>46186</v>
      </c>
      <c r="D334" t="inlineStr">
        <is>
          <t>ÖREBRO LÄN</t>
        </is>
      </c>
      <c r="E334" t="inlineStr">
        <is>
          <t>ASKERSUND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36484-2022</t>
        </is>
      </c>
      <c r="B335" s="1" t="n">
        <v>44804.44864583333</v>
      </c>
      <c r="C335" s="1" t="n">
        <v>46186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38626-2023</t>
        </is>
      </c>
      <c r="B336" s="1" t="n">
        <v>45162</v>
      </c>
      <c r="C336" s="1" t="n">
        <v>46186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26415-2024</t>
        </is>
      </c>
      <c r="B337" s="1" t="n">
        <v>45469.456875</v>
      </c>
      <c r="C337" s="1" t="n">
        <v>46186</v>
      </c>
      <c r="D337" t="inlineStr">
        <is>
          <t>ÖREBRO LÄN</t>
        </is>
      </c>
      <c r="E337" t="inlineStr">
        <is>
          <t>ASKERSUND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32679-2025</t>
        </is>
      </c>
      <c r="B338" s="1" t="n">
        <v>45838.78107638889</v>
      </c>
      <c r="C338" s="1" t="n">
        <v>46186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46186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46186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52072-2024</t>
        </is>
      </c>
      <c r="B341" s="1" t="n">
        <v>45608</v>
      </c>
      <c r="C341" s="1" t="n">
        <v>46186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7256-2023</t>
        </is>
      </c>
      <c r="B342" s="1" t="n">
        <v>44970.63328703704</v>
      </c>
      <c r="C342" s="1" t="n">
        <v>46186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16638-2026</t>
        </is>
      </c>
      <c r="B343" s="1" t="n">
        <v>46112.62819444444</v>
      </c>
      <c r="C343" s="1" t="n">
        <v>46186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22317-2026</t>
        </is>
      </c>
      <c r="B344" s="1" t="n">
        <v>46154.49802083334</v>
      </c>
      <c r="C344" s="1" t="n">
        <v>46186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16595-2026</t>
        </is>
      </c>
      <c r="B345" s="1" t="n">
        <v>46112.59224537037</v>
      </c>
      <c r="C345" s="1" t="n">
        <v>46186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50101-2024</t>
        </is>
      </c>
      <c r="B346" s="1" t="n">
        <v>45599</v>
      </c>
      <c r="C346" s="1" t="n">
        <v>46186</v>
      </c>
      <c r="D346" t="inlineStr">
        <is>
          <t>ÖREBRO LÄN</t>
        </is>
      </c>
      <c r="E346" t="inlineStr">
        <is>
          <t>ASKERSUND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14499-2022</t>
        </is>
      </c>
      <c r="B347" s="1" t="n">
        <v>44655.36789351852</v>
      </c>
      <c r="C347" s="1" t="n">
        <v>46186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16602-2026</t>
        </is>
      </c>
      <c r="B348" s="1" t="n">
        <v>46112.59780092593</v>
      </c>
      <c r="C348" s="1" t="n">
        <v>46186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47344-2024</t>
        </is>
      </c>
      <c r="B349" s="1" t="n">
        <v>45587.40885416666</v>
      </c>
      <c r="C349" s="1" t="n">
        <v>46186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45391.67054398148</v>
      </c>
      <c r="C350" s="1" t="n">
        <v>46186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1437-2024</t>
        </is>
      </c>
      <c r="B351" s="1" t="n">
        <v>45303</v>
      </c>
      <c r="C351" s="1" t="n">
        <v>46186</v>
      </c>
      <c r="D351" t="inlineStr">
        <is>
          <t>ÖREBRO LÄN</t>
        </is>
      </c>
      <c r="E351" t="inlineStr">
        <is>
          <t>ASKERSUND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16633-2026</t>
        </is>
      </c>
      <c r="B352" s="1" t="n">
        <v>46112.6225</v>
      </c>
      <c r="C352" s="1" t="n">
        <v>46186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16618-2026</t>
        </is>
      </c>
      <c r="B353" s="1" t="n">
        <v>46112.60657407407</v>
      </c>
      <c r="C353" s="1" t="n">
        <v>46186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16630-2026</t>
        </is>
      </c>
      <c r="B354" s="1" t="n">
        <v>46112.61958333333</v>
      </c>
      <c r="C354" s="1" t="n">
        <v>46186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16639-2026</t>
        </is>
      </c>
      <c r="B355" s="1" t="n">
        <v>46112.63101851852</v>
      </c>
      <c r="C355" s="1" t="n">
        <v>46186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16629-2026</t>
        </is>
      </c>
      <c r="B356" s="1" t="n">
        <v>46112.61761574074</v>
      </c>
      <c r="C356" s="1" t="n">
        <v>46186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1360-2022</t>
        </is>
      </c>
      <c r="B357" s="1" t="n">
        <v>44573</v>
      </c>
      <c r="C357" s="1" t="n">
        <v>46186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16615-2026</t>
        </is>
      </c>
      <c r="B358" s="1" t="n">
        <v>46112.60508101852</v>
      </c>
      <c r="C358" s="1" t="n">
        <v>46186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4467-2024</t>
        </is>
      </c>
      <c r="B359" s="1" t="n">
        <v>45327</v>
      </c>
      <c r="C359" s="1" t="n">
        <v>46186</v>
      </c>
      <c r="D359" t="inlineStr">
        <is>
          <t>ÖREBRO LÄN</t>
        </is>
      </c>
      <c r="E359" t="inlineStr">
        <is>
          <t>ASKERSUND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22769-2026</t>
        </is>
      </c>
      <c r="B360" s="1" t="n">
        <v>46157.4937037037</v>
      </c>
      <c r="C360" s="1" t="n">
        <v>46186</v>
      </c>
      <c r="D360" t="inlineStr">
        <is>
          <t>ÖREBRO LÄN</t>
        </is>
      </c>
      <c r="E360" t="inlineStr">
        <is>
          <t>ASKERSUND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17503-2026</t>
        </is>
      </c>
      <c r="B361" s="1" t="n">
        <v>46120.61810185185</v>
      </c>
      <c r="C361" s="1" t="n">
        <v>46186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34512-2024</t>
        </is>
      </c>
      <c r="B362" s="1" t="n">
        <v>45525</v>
      </c>
      <c r="C362" s="1" t="n">
        <v>46186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34514-2024</t>
        </is>
      </c>
      <c r="B363" s="1" t="n">
        <v>45525</v>
      </c>
      <c r="C363" s="1" t="n">
        <v>46186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19997-2022</t>
        </is>
      </c>
      <c r="B364" s="1" t="n">
        <v>44697</v>
      </c>
      <c r="C364" s="1" t="n">
        <v>46186</v>
      </c>
      <c r="D364" t="inlineStr">
        <is>
          <t>ÖREBRO LÄN</t>
        </is>
      </c>
      <c r="E364" t="inlineStr">
        <is>
          <t>ASKERSUND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23568-2026</t>
        </is>
      </c>
      <c r="B365" s="1" t="n">
        <v>46163.59427083333</v>
      </c>
      <c r="C365" s="1" t="n">
        <v>46186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23448-2026</t>
        </is>
      </c>
      <c r="B366" s="1" t="n">
        <v>46163.38210648148</v>
      </c>
      <c r="C366" s="1" t="n">
        <v>46186</v>
      </c>
      <c r="D366" t="inlineStr">
        <is>
          <t>ÖREBRO LÄN</t>
        </is>
      </c>
      <c r="E366" t="inlineStr">
        <is>
          <t>ASKERSUND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21448-2024</t>
        </is>
      </c>
      <c r="B367" s="1" t="n">
        <v>45441</v>
      </c>
      <c r="C367" s="1" t="n">
        <v>46186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23579-2026</t>
        </is>
      </c>
      <c r="B368" s="1" t="n">
        <v>46163.60822916667</v>
      </c>
      <c r="C368" s="1" t="n">
        <v>46186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23577-2026</t>
        </is>
      </c>
      <c r="B369" s="1" t="n">
        <v>46163.60369212963</v>
      </c>
      <c r="C369" s="1" t="n">
        <v>46186</v>
      </c>
      <c r="D369" t="inlineStr">
        <is>
          <t>ÖREBRO LÄN</t>
        </is>
      </c>
      <c r="E369" t="inlineStr">
        <is>
          <t>ASKERSUND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33258-2025</t>
        </is>
      </c>
      <c r="B370" s="1" t="n">
        <v>45840.67255787037</v>
      </c>
      <c r="C370" s="1" t="n">
        <v>46186</v>
      </c>
      <c r="D370" t="inlineStr">
        <is>
          <t>ÖREBRO LÄN</t>
        </is>
      </c>
      <c r="E370" t="inlineStr">
        <is>
          <t>ASKERSUND</t>
        </is>
      </c>
      <c r="G370" t="n">
        <v>17.3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57645-2023</t>
        </is>
      </c>
      <c r="B371" s="1" t="n">
        <v>45246</v>
      </c>
      <c r="C371" s="1" t="n">
        <v>46186</v>
      </c>
      <c r="D371" t="inlineStr">
        <is>
          <t>ÖREBRO LÄN</t>
        </is>
      </c>
      <c r="E371" t="inlineStr">
        <is>
          <t>ASKERSUND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23558-2026</t>
        </is>
      </c>
      <c r="B372" s="1" t="n">
        <v>46163.58185185185</v>
      </c>
      <c r="C372" s="1" t="n">
        <v>46186</v>
      </c>
      <c r="D372" t="inlineStr">
        <is>
          <t>ÖREBRO LÄN</t>
        </is>
      </c>
      <c r="E372" t="inlineStr">
        <is>
          <t>ASKERSUND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18232-2026</t>
        </is>
      </c>
      <c r="B373" s="1" t="n">
        <v>46126.33628472222</v>
      </c>
      <c r="C373" s="1" t="n">
        <v>46186</v>
      </c>
      <c r="D373" t="inlineStr">
        <is>
          <t>ÖREBRO LÄN</t>
        </is>
      </c>
      <c r="E373" t="inlineStr">
        <is>
          <t>ASKERSUND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22198-2026</t>
        </is>
      </c>
      <c r="B374" s="1" t="n">
        <v>46153</v>
      </c>
      <c r="C374" s="1" t="n">
        <v>46186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15625-2022</t>
        </is>
      </c>
      <c r="B375" s="1" t="n">
        <v>44662.70594907407</v>
      </c>
      <c r="C375" s="1" t="n">
        <v>46186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46186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18981-2024</t>
        </is>
      </c>
      <c r="B377" s="1" t="n">
        <v>45427.58246527778</v>
      </c>
      <c r="C377" s="1" t="n">
        <v>46186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37404-2022</t>
        </is>
      </c>
      <c r="B378" s="1" t="n">
        <v>44808</v>
      </c>
      <c r="C378" s="1" t="n">
        <v>46186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46186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46186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24738-2026</t>
        </is>
      </c>
      <c r="B381" s="1" t="n">
        <v>46171.57945601852</v>
      </c>
      <c r="C381" s="1" t="n">
        <v>46186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24505-2026</t>
        </is>
      </c>
      <c r="B382" s="1" t="n">
        <v>46170.48337962963</v>
      </c>
      <c r="C382" s="1" t="n">
        <v>46186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23914-2024</t>
        </is>
      </c>
      <c r="B383" s="1" t="n">
        <v>45455.86207175926</v>
      </c>
      <c r="C383" s="1" t="n">
        <v>46186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44972-2021</t>
        </is>
      </c>
      <c r="B384" s="1" t="n">
        <v>44438</v>
      </c>
      <c r="C384" s="1" t="n">
        <v>46186</v>
      </c>
      <c r="D384" t="inlineStr">
        <is>
          <t>ÖREBRO LÄN</t>
        </is>
      </c>
      <c r="E384" t="inlineStr">
        <is>
          <t>ASKERSUND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24577-2026</t>
        </is>
      </c>
      <c r="B385" s="1" t="n">
        <v>46170.65010416666</v>
      </c>
      <c r="C385" s="1" t="n">
        <v>46186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11637-2024</t>
        </is>
      </c>
      <c r="B386" s="1" t="n">
        <v>45373</v>
      </c>
      <c r="C386" s="1" t="n">
        <v>46186</v>
      </c>
      <c r="D386" t="inlineStr">
        <is>
          <t>ÖREBRO LÄN</t>
        </is>
      </c>
      <c r="E386" t="inlineStr">
        <is>
          <t>ASKERSUND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15806-2024</t>
        </is>
      </c>
      <c r="B387" s="1" t="n">
        <v>45404.66259259259</v>
      </c>
      <c r="C387" s="1" t="n">
        <v>46186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18474-2026</t>
        </is>
      </c>
      <c r="B388" s="1" t="n">
        <v>46127.43859953704</v>
      </c>
      <c r="C388" s="1" t="n">
        <v>46186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16952-2022</t>
        </is>
      </c>
      <c r="B389" s="1" t="n">
        <v>44676.48239583334</v>
      </c>
      <c r="C389" s="1" t="n">
        <v>46186</v>
      </c>
      <c r="D389" t="inlineStr">
        <is>
          <t>ÖREBRO LÄN</t>
        </is>
      </c>
      <c r="E389" t="inlineStr">
        <is>
          <t>ASKERSUND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16953-2022</t>
        </is>
      </c>
      <c r="B390" s="1" t="n">
        <v>44676.48760416666</v>
      </c>
      <c r="C390" s="1" t="n">
        <v>46186</v>
      </c>
      <c r="D390" t="inlineStr">
        <is>
          <t>ÖREBRO LÄN</t>
        </is>
      </c>
      <c r="E390" t="inlineStr">
        <is>
          <t>ASKERSUND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25035-2026</t>
        </is>
      </c>
      <c r="B391" s="1" t="n">
        <v>46174.64086805555</v>
      </c>
      <c r="C391" s="1" t="n">
        <v>46186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25038-2026</t>
        </is>
      </c>
      <c r="B392" s="1" t="n">
        <v>46174.64571759259</v>
      </c>
      <c r="C392" s="1" t="n">
        <v>46186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60141-2022</t>
        </is>
      </c>
      <c r="B393" s="1" t="n">
        <v>44909.67884259259</v>
      </c>
      <c r="C393" s="1" t="n">
        <v>46186</v>
      </c>
      <c r="D393" t="inlineStr">
        <is>
          <t>ÖREBRO LÄN</t>
        </is>
      </c>
      <c r="E393" t="inlineStr">
        <is>
          <t>ASKERSUND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46186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25017-2026</t>
        </is>
      </c>
      <c r="B395" s="1" t="n">
        <v>46174.62516203704</v>
      </c>
      <c r="C395" s="1" t="n">
        <v>46186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25005-2026</t>
        </is>
      </c>
      <c r="B396" s="1" t="n">
        <v>46174.61679398148</v>
      </c>
      <c r="C396" s="1" t="n">
        <v>46186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25019-2026</t>
        </is>
      </c>
      <c r="B397" s="1" t="n">
        <v>46174.62716435185</v>
      </c>
      <c r="C397" s="1" t="n">
        <v>46186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12418-2023</t>
        </is>
      </c>
      <c r="B398" s="1" t="n">
        <v>44999.52805555556</v>
      </c>
      <c r="C398" s="1" t="n">
        <v>46186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12423-2023</t>
        </is>
      </c>
      <c r="B399" s="1" t="n">
        <v>44999.53216435185</v>
      </c>
      <c r="C399" s="1" t="n">
        <v>46186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15976-2023</t>
        </is>
      </c>
      <c r="B400" s="1" t="n">
        <v>45022</v>
      </c>
      <c r="C400" s="1" t="n">
        <v>46186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52434-2024</t>
        </is>
      </c>
      <c r="B401" s="1" t="n">
        <v>45609.47806712963</v>
      </c>
      <c r="C401" s="1" t="n">
        <v>46186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36031-2024</t>
        </is>
      </c>
      <c r="B402" s="1" t="n">
        <v>45533.58539351852</v>
      </c>
      <c r="C402" s="1" t="n">
        <v>46186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16631-2024</t>
        </is>
      </c>
      <c r="B403" s="1" t="n">
        <v>45408.59015046297</v>
      </c>
      <c r="C403" s="1" t="n">
        <v>46186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46186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44161-2023</t>
        </is>
      </c>
      <c r="B405" s="1" t="n">
        <v>45188.48960648148</v>
      </c>
      <c r="C405" s="1" t="n">
        <v>46186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25297-2026</t>
        </is>
      </c>
      <c r="B406" s="1" t="n">
        <v>46176.42716435185</v>
      </c>
      <c r="C406" s="1" t="n">
        <v>46186</v>
      </c>
      <c r="D406" t="inlineStr">
        <is>
          <t>ÖREBRO LÄN</t>
        </is>
      </c>
      <c r="E406" t="inlineStr">
        <is>
          <t>ASKERSUND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30351-2025</t>
        </is>
      </c>
      <c r="B407" s="1" t="n">
        <v>45827.53324074074</v>
      </c>
      <c r="C407" s="1" t="n">
        <v>46186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24078-2024</t>
        </is>
      </c>
      <c r="B408" s="1" t="n">
        <v>45456.56702546297</v>
      </c>
      <c r="C408" s="1" t="n">
        <v>46186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59865-2021</t>
        </is>
      </c>
      <c r="B409" s="1" t="n">
        <v>44494.59873842593</v>
      </c>
      <c r="C409" s="1" t="n">
        <v>46186</v>
      </c>
      <c r="D409" t="inlineStr">
        <is>
          <t>ÖREBRO LÄN</t>
        </is>
      </c>
      <c r="E409" t="inlineStr">
        <is>
          <t>ASKERSUND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9327-2025</t>
        </is>
      </c>
      <c r="B410" s="1" t="n">
        <v>45714.74899305555</v>
      </c>
      <c r="C410" s="1" t="n">
        <v>46186</v>
      </c>
      <c r="D410" t="inlineStr">
        <is>
          <t>ÖREBRO LÄN</t>
        </is>
      </c>
      <c r="E410" t="inlineStr">
        <is>
          <t>ASKERSUND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16642-2023</t>
        </is>
      </c>
      <c r="B411" s="1" t="n">
        <v>45030</v>
      </c>
      <c r="C411" s="1" t="n">
        <v>46186</v>
      </c>
      <c r="D411" t="inlineStr">
        <is>
          <t>ÖREBRO LÄN</t>
        </is>
      </c>
      <c r="E411" t="inlineStr">
        <is>
          <t>ASKERSUND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46186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46186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46186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38359-2022</t>
        </is>
      </c>
      <c r="B415" s="1" t="n">
        <v>44812</v>
      </c>
      <c r="C415" s="1" t="n">
        <v>46186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41094-2021</t>
        </is>
      </c>
      <c r="B416" s="1" t="n">
        <v>44422</v>
      </c>
      <c r="C416" s="1" t="n">
        <v>46186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22802-2023</t>
        </is>
      </c>
      <c r="B417" s="1" t="n">
        <v>45072</v>
      </c>
      <c r="C417" s="1" t="n">
        <v>46186</v>
      </c>
      <c r="D417" t="inlineStr">
        <is>
          <t>ÖREBRO LÄN</t>
        </is>
      </c>
      <c r="E417" t="inlineStr">
        <is>
          <t>ASKERSUND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56033-2022</t>
        </is>
      </c>
      <c r="B418" s="1" t="n">
        <v>44889.5547337963</v>
      </c>
      <c r="C418" s="1" t="n">
        <v>46186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1119-2026</t>
        </is>
      </c>
      <c r="B419" s="1" t="n">
        <v>46030</v>
      </c>
      <c r="C419" s="1" t="n">
        <v>46186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52786-2023</t>
        </is>
      </c>
      <c r="B420" s="1" t="n">
        <v>45226</v>
      </c>
      <c r="C420" s="1" t="n">
        <v>46186</v>
      </c>
      <c r="D420" t="inlineStr">
        <is>
          <t>ÖREBRO LÄN</t>
        </is>
      </c>
      <c r="E420" t="inlineStr">
        <is>
          <t>ASKERSUND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918-2025</t>
        </is>
      </c>
      <c r="B421" s="1" t="n">
        <v>45664</v>
      </c>
      <c r="C421" s="1" t="n">
        <v>46186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920-2025</t>
        </is>
      </c>
      <c r="B422" s="1" t="n">
        <v>45664</v>
      </c>
      <c r="C422" s="1" t="n">
        <v>46186</v>
      </c>
      <c r="D422" t="inlineStr">
        <is>
          <t>ÖREBRO LÄN</t>
        </is>
      </c>
      <c r="E422" t="inlineStr">
        <is>
          <t>ASKERSUND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7854-2025</t>
        </is>
      </c>
      <c r="B423" s="1" t="n">
        <v>45706.67792824074</v>
      </c>
      <c r="C423" s="1" t="n">
        <v>46186</v>
      </c>
      <c r="D423" t="inlineStr">
        <is>
          <t>ÖREBRO LÄN</t>
        </is>
      </c>
      <c r="E423" t="inlineStr">
        <is>
          <t>ASKERSUND</t>
        </is>
      </c>
      <c r="F423" t="inlineStr">
        <is>
          <t>Kyrkan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5228-2023</t>
        </is>
      </c>
      <c r="B424" s="1" t="n">
        <v>44959</v>
      </c>
      <c r="C424" s="1" t="n">
        <v>46186</v>
      </c>
      <c r="D424" t="inlineStr">
        <is>
          <t>ÖREBRO LÄN</t>
        </is>
      </c>
      <c r="E424" t="inlineStr">
        <is>
          <t>ASKERSUND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56476-2025</t>
        </is>
      </c>
      <c r="B425" s="1" t="n">
        <v>45975.38548611111</v>
      </c>
      <c r="C425" s="1" t="n">
        <v>46186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38572-2023</t>
        </is>
      </c>
      <c r="B426" s="1" t="n">
        <v>45162</v>
      </c>
      <c r="C426" s="1" t="n">
        <v>46186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54162-2025</t>
        </is>
      </c>
      <c r="B427" s="1" t="n">
        <v>45964.50684027778</v>
      </c>
      <c r="C427" s="1" t="n">
        <v>46186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46186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28692-2022</t>
        </is>
      </c>
      <c r="B429" s="1" t="n">
        <v>44748.73148148148</v>
      </c>
      <c r="C429" s="1" t="n">
        <v>46186</v>
      </c>
      <c r="D429" t="inlineStr">
        <is>
          <t>ÖREBRO LÄN</t>
        </is>
      </c>
      <c r="E429" t="inlineStr">
        <is>
          <t>ASKERSUND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61189-2022</t>
        </is>
      </c>
      <c r="B430" s="1" t="n">
        <v>44915.51126157407</v>
      </c>
      <c r="C430" s="1" t="n">
        <v>46186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44528-2021</t>
        </is>
      </c>
      <c r="B431" s="1" t="n">
        <v>44435.62600694445</v>
      </c>
      <c r="C431" s="1" t="n">
        <v>46186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26132-2026</t>
        </is>
      </c>
      <c r="B432" s="1" t="n">
        <v>46181.70039351852</v>
      </c>
      <c r="C432" s="1" t="n">
        <v>46186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31664-2025</t>
        </is>
      </c>
      <c r="B433" s="1" t="n">
        <v>45834.36265046296</v>
      </c>
      <c r="C433" s="1" t="n">
        <v>46186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32038-2024</t>
        </is>
      </c>
      <c r="B434" s="1" t="n">
        <v>45510</v>
      </c>
      <c r="C434" s="1" t="n">
        <v>46186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27428-2024</t>
        </is>
      </c>
      <c r="B435" s="1" t="n">
        <v>45473</v>
      </c>
      <c r="C435" s="1" t="n">
        <v>46186</v>
      </c>
      <c r="D435" t="inlineStr">
        <is>
          <t>ÖREBRO LÄN</t>
        </is>
      </c>
      <c r="E435" t="inlineStr">
        <is>
          <t>ASKERSUND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22511-2024</t>
        </is>
      </c>
      <c r="B436" s="1" t="n">
        <v>45447.37612268519</v>
      </c>
      <c r="C436" s="1" t="n">
        <v>46186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26138-2026</t>
        </is>
      </c>
      <c r="B437" s="1" t="n">
        <v>46181.71087962963</v>
      </c>
      <c r="C437" s="1" t="n">
        <v>46186</v>
      </c>
      <c r="D437" t="inlineStr">
        <is>
          <t>ÖREBRO LÄN</t>
        </is>
      </c>
      <c r="E437" t="inlineStr">
        <is>
          <t>ASKERSUND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26662-2022</t>
        </is>
      </c>
      <c r="B438" s="1" t="n">
        <v>44739.6334375</v>
      </c>
      <c r="C438" s="1" t="n">
        <v>46186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49111-2025</t>
        </is>
      </c>
      <c r="B439" s="1" t="n">
        <v>45937.75732638889</v>
      </c>
      <c r="C439" s="1" t="n">
        <v>46186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26127-2026</t>
        </is>
      </c>
      <c r="B440" s="1" t="n">
        <v>46181.68112268519</v>
      </c>
      <c r="C440" s="1" t="n">
        <v>46186</v>
      </c>
      <c r="D440" t="inlineStr">
        <is>
          <t>ÖREBRO LÄN</t>
        </is>
      </c>
      <c r="E440" t="inlineStr">
        <is>
          <t>ASKERSUND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18409-2023</t>
        </is>
      </c>
      <c r="B441" s="1" t="n">
        <v>45042.4005787037</v>
      </c>
      <c r="C441" s="1" t="n">
        <v>46186</v>
      </c>
      <c r="D441" t="inlineStr">
        <is>
          <t>ÖREBRO LÄN</t>
        </is>
      </c>
      <c r="E441" t="inlineStr">
        <is>
          <t>ASKERSUND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34501-2024</t>
        </is>
      </c>
      <c r="B442" s="1" t="n">
        <v>45525.64034722222</v>
      </c>
      <c r="C442" s="1" t="n">
        <v>46186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65068-2023</t>
        </is>
      </c>
      <c r="B443" s="1" t="n">
        <v>45285</v>
      </c>
      <c r="C443" s="1" t="n">
        <v>46186</v>
      </c>
      <c r="D443" t="inlineStr">
        <is>
          <t>ÖREBRO LÄN</t>
        </is>
      </c>
      <c r="E443" t="inlineStr">
        <is>
          <t>ASKERSUND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16643-2023</t>
        </is>
      </c>
      <c r="B444" s="1" t="n">
        <v>45030.49903935185</v>
      </c>
      <c r="C444" s="1" t="n">
        <v>46186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29131-2024</t>
        </is>
      </c>
      <c r="B445" s="1" t="n">
        <v>45481</v>
      </c>
      <c r="C445" s="1" t="n">
        <v>46186</v>
      </c>
      <c r="D445" t="inlineStr">
        <is>
          <t>ÖREBRO LÄN</t>
        </is>
      </c>
      <c r="E445" t="inlineStr">
        <is>
          <t>ASKERSUND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48389-2025</t>
        </is>
      </c>
      <c r="B446" s="1" t="n">
        <v>45933.89372685185</v>
      </c>
      <c r="C446" s="1" t="n">
        <v>46186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50599-2023</t>
        </is>
      </c>
      <c r="B447" s="1" t="n">
        <v>45217.42408564815</v>
      </c>
      <c r="C447" s="1" t="n">
        <v>46186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7371-2022</t>
        </is>
      </c>
      <c r="B448" s="1" t="n">
        <v>44606.59517361111</v>
      </c>
      <c r="C448" s="1" t="n">
        <v>46186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13046-2024</t>
        </is>
      </c>
      <c r="B449" s="1" t="n">
        <v>45385</v>
      </c>
      <c r="C449" s="1" t="n">
        <v>46186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26205-2026</t>
        </is>
      </c>
      <c r="B450" s="1" t="n">
        <v>46182.41056712963</v>
      </c>
      <c r="C450" s="1" t="n">
        <v>46186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33660-2023</t>
        </is>
      </c>
      <c r="B451" s="1" t="n">
        <v>45132.59460648148</v>
      </c>
      <c r="C451" s="1" t="n">
        <v>46186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42281-2025</t>
        </is>
      </c>
      <c r="B452" s="1" t="n">
        <v>45904.61800925926</v>
      </c>
      <c r="C452" s="1" t="n">
        <v>46186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5518-2022</t>
        </is>
      </c>
      <c r="B453" s="1" t="n">
        <v>44595</v>
      </c>
      <c r="C453" s="1" t="n">
        <v>46186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28819-2023</t>
        </is>
      </c>
      <c r="B454" s="1" t="n">
        <v>45104.38340277778</v>
      </c>
      <c r="C454" s="1" t="n">
        <v>46186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28897-2023</t>
        </is>
      </c>
      <c r="B455" s="1" t="n">
        <v>45104</v>
      </c>
      <c r="C455" s="1" t="n">
        <v>46186</v>
      </c>
      <c r="D455" t="inlineStr">
        <is>
          <t>ÖREBRO LÄN</t>
        </is>
      </c>
      <c r="E455" t="inlineStr">
        <is>
          <t>ASKERSUND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31265-2024</t>
        </is>
      </c>
      <c r="B456" s="1" t="n">
        <v>45503.97861111111</v>
      </c>
      <c r="C456" s="1" t="n">
        <v>46186</v>
      </c>
      <c r="D456" t="inlineStr">
        <is>
          <t>ÖREBRO LÄN</t>
        </is>
      </c>
      <c r="E456" t="inlineStr">
        <is>
          <t>ASKERSUND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8047-2025</t>
        </is>
      </c>
      <c r="B457" s="1" t="n">
        <v>45707</v>
      </c>
      <c r="C457" s="1" t="n">
        <v>46186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10076-2024</t>
        </is>
      </c>
      <c r="B458" s="1" t="n">
        <v>45364.41105324074</v>
      </c>
      <c r="C458" s="1" t="n">
        <v>46186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58143-2021</t>
        </is>
      </c>
      <c r="B459" s="1" t="n">
        <v>44487</v>
      </c>
      <c r="C459" s="1" t="n">
        <v>46186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46186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3883-2024</t>
        </is>
      </c>
      <c r="B461" s="1" t="n">
        <v>45322</v>
      </c>
      <c r="C461" s="1" t="n">
        <v>46186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59560-2022</t>
        </is>
      </c>
      <c r="B462" s="1" t="n">
        <v>44907.60194444445</v>
      </c>
      <c r="C462" s="1" t="n">
        <v>46186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27021-2026</t>
        </is>
      </c>
      <c r="B463" s="1" t="n">
        <v>46185.66701388889</v>
      </c>
      <c r="C463" s="1" t="n">
        <v>46186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27023-2026</t>
        </is>
      </c>
      <c r="B464" s="1" t="n">
        <v>46185.67077546296</v>
      </c>
      <c r="C464" s="1" t="n">
        <v>46186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30610-2024</t>
        </is>
      </c>
      <c r="B465" s="1" t="n">
        <v>45495.3559375</v>
      </c>
      <c r="C465" s="1" t="n">
        <v>46186</v>
      </c>
      <c r="D465" t="inlineStr">
        <is>
          <t>ÖREBRO LÄN</t>
        </is>
      </c>
      <c r="E465" t="inlineStr">
        <is>
          <t>ASKERSUND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26412-2024</t>
        </is>
      </c>
      <c r="B466" s="1" t="n">
        <v>45469.45405092592</v>
      </c>
      <c r="C466" s="1" t="n">
        <v>46186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32215-2024</t>
        </is>
      </c>
      <c r="B467" s="1" t="n">
        <v>45511.89145833333</v>
      </c>
      <c r="C467" s="1" t="n">
        <v>46186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20916-2026</t>
        </is>
      </c>
      <c r="B468" s="1" t="n">
        <v>46142.47380787037</v>
      </c>
      <c r="C468" s="1" t="n">
        <v>46186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27027-2026</t>
        </is>
      </c>
      <c r="B469" s="1" t="n">
        <v>46185.67298611111</v>
      </c>
      <c r="C469" s="1" t="n">
        <v>46186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20902-2026</t>
        </is>
      </c>
      <c r="B470" s="1" t="n">
        <v>46142.45960648148</v>
      </c>
      <c r="C470" s="1" t="n">
        <v>46186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20918-2026</t>
        </is>
      </c>
      <c r="B471" s="1" t="n">
        <v>46142.47591435185</v>
      </c>
      <c r="C471" s="1" t="n">
        <v>46186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20893-2026</t>
        </is>
      </c>
      <c r="B472" s="1" t="n">
        <v>46142.44819444444</v>
      </c>
      <c r="C472" s="1" t="n">
        <v>46186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25994-2026</t>
        </is>
      </c>
      <c r="B473" s="1" t="n">
        <v>46181</v>
      </c>
      <c r="C473" s="1" t="n">
        <v>46186</v>
      </c>
      <c r="D473" t="inlineStr">
        <is>
          <t>ÖREBRO LÄN</t>
        </is>
      </c>
      <c r="E473" t="inlineStr">
        <is>
          <t>ASKERSUND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44764-2023</t>
        </is>
      </c>
      <c r="B474" s="1" t="n">
        <v>45190.43935185186</v>
      </c>
      <c r="C474" s="1" t="n">
        <v>46186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27031-2026</t>
        </is>
      </c>
      <c r="B475" s="1" t="n">
        <v>46185.67456018519</v>
      </c>
      <c r="C475" s="1" t="n">
        <v>46186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54649-2023</t>
        </is>
      </c>
      <c r="B476" s="1" t="n">
        <v>45235</v>
      </c>
      <c r="C476" s="1" t="n">
        <v>46186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13893-2024</t>
        </is>
      </c>
      <c r="B477" s="1" t="n">
        <v>45391.63415509259</v>
      </c>
      <c r="C477" s="1" t="n">
        <v>46186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9169-2022</t>
        </is>
      </c>
      <c r="B478" s="1" t="n">
        <v>44615</v>
      </c>
      <c r="C478" s="1" t="n">
        <v>46186</v>
      </c>
      <c r="D478" t="inlineStr">
        <is>
          <t>ÖREBRO LÄN</t>
        </is>
      </c>
      <c r="E478" t="inlineStr">
        <is>
          <t>ASKERSUND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6828-2022</t>
        </is>
      </c>
      <c r="B479" s="1" t="n">
        <v>44602.59796296297</v>
      </c>
      <c r="C479" s="1" t="n">
        <v>46186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10204-2025</t>
        </is>
      </c>
      <c r="B480" s="1" t="n">
        <v>45719.76690972222</v>
      </c>
      <c r="C480" s="1" t="n">
        <v>46186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34139-2022</t>
        </is>
      </c>
      <c r="B481" s="1" t="n">
        <v>44791</v>
      </c>
      <c r="C481" s="1" t="n">
        <v>46186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22814-2024</t>
        </is>
      </c>
      <c r="B482" s="1" t="n">
        <v>45448</v>
      </c>
      <c r="C482" s="1" t="n">
        <v>46186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31668-2024</t>
        </is>
      </c>
      <c r="B483" s="1" t="n">
        <v>45506.94680555556</v>
      </c>
      <c r="C483" s="1" t="n">
        <v>46186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45210-2023</t>
        </is>
      </c>
      <c r="B484" s="1" t="n">
        <v>45191</v>
      </c>
      <c r="C484" s="1" t="n">
        <v>46186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48458-2021</t>
        </is>
      </c>
      <c r="B485" s="1" t="n">
        <v>44452</v>
      </c>
      <c r="C485" s="1" t="n">
        <v>46186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12735-2022</t>
        </is>
      </c>
      <c r="B486" s="1" t="n">
        <v>44641</v>
      </c>
      <c r="C486" s="1" t="n">
        <v>46186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12426-2023</t>
        </is>
      </c>
      <c r="B487" s="1" t="n">
        <v>44999.53523148148</v>
      </c>
      <c r="C487" s="1" t="n">
        <v>46186</v>
      </c>
      <c r="D487" t="inlineStr">
        <is>
          <t>ÖREBRO LÄN</t>
        </is>
      </c>
      <c r="E487" t="inlineStr">
        <is>
          <t>ASKERSUND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52292-2021</t>
        </is>
      </c>
      <c r="B488" s="1" t="n">
        <v>44463.67348379629</v>
      </c>
      <c r="C488" s="1" t="n">
        <v>46186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53019-2021</t>
        </is>
      </c>
      <c r="B489" s="1" t="n">
        <v>44467</v>
      </c>
      <c r="C489" s="1" t="n">
        <v>46186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8210-2022</t>
        </is>
      </c>
      <c r="B490" s="1" t="n">
        <v>44609</v>
      </c>
      <c r="C490" s="1" t="n">
        <v>46186</v>
      </c>
      <c r="D490" t="inlineStr">
        <is>
          <t>ÖREBRO LÄN</t>
        </is>
      </c>
      <c r="E490" t="inlineStr">
        <is>
          <t>ASKERSUND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46174-2021</t>
        </is>
      </c>
      <c r="B491" s="1" t="n">
        <v>44442</v>
      </c>
      <c r="C491" s="1" t="n">
        <v>46186</v>
      </c>
      <c r="D491" t="inlineStr">
        <is>
          <t>ÖREBRO LÄN</t>
        </is>
      </c>
      <c r="E491" t="inlineStr">
        <is>
          <t>ASKERSUND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3675-2023</t>
        </is>
      </c>
      <c r="B492" s="1" t="n">
        <v>44950</v>
      </c>
      <c r="C492" s="1" t="n">
        <v>46186</v>
      </c>
      <c r="D492" t="inlineStr">
        <is>
          <t>ÖREBRO LÄN</t>
        </is>
      </c>
      <c r="E492" t="inlineStr">
        <is>
          <t>ASKERSUND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3680-2023</t>
        </is>
      </c>
      <c r="B493" s="1" t="n">
        <v>44950.90216435185</v>
      </c>
      <c r="C493" s="1" t="n">
        <v>46186</v>
      </c>
      <c r="D493" t="inlineStr">
        <is>
          <t>ÖREBRO LÄN</t>
        </is>
      </c>
      <c r="E493" t="inlineStr">
        <is>
          <t>ASKERSUND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47202-2024</t>
        </is>
      </c>
      <c r="B494" s="1" t="n">
        <v>45586.63421296296</v>
      </c>
      <c r="C494" s="1" t="n">
        <v>46186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42198-2021</t>
        </is>
      </c>
      <c r="B495" s="1" t="n">
        <v>44426</v>
      </c>
      <c r="C495" s="1" t="n">
        <v>46186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62319-2023</t>
        </is>
      </c>
      <c r="B496" s="1" t="n">
        <v>45267.75094907408</v>
      </c>
      <c r="C496" s="1" t="n">
        <v>46186</v>
      </c>
      <c r="D496" t="inlineStr">
        <is>
          <t>ÖREBRO LÄN</t>
        </is>
      </c>
      <c r="E496" t="inlineStr">
        <is>
          <t>ASKERSUND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8366-2025</t>
        </is>
      </c>
      <c r="B497" s="1" t="n">
        <v>45708</v>
      </c>
      <c r="C497" s="1" t="n">
        <v>46186</v>
      </c>
      <c r="D497" t="inlineStr">
        <is>
          <t>ÖREBRO LÄN</t>
        </is>
      </c>
      <c r="E497" t="inlineStr">
        <is>
          <t>ASKERSUND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54723-2021</t>
        </is>
      </c>
      <c r="B498" s="1" t="n">
        <v>44473.82302083333</v>
      </c>
      <c r="C498" s="1" t="n">
        <v>46186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58420-2021</t>
        </is>
      </c>
      <c r="B499" s="1" t="n">
        <v>44488</v>
      </c>
      <c r="C499" s="1" t="n">
        <v>46186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41762-2021</t>
        </is>
      </c>
      <c r="B500" s="1" t="n">
        <v>44425.63494212963</v>
      </c>
      <c r="C500" s="1" t="n">
        <v>46186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73579-2021</t>
        </is>
      </c>
      <c r="B501" s="1" t="n">
        <v>44552.34407407408</v>
      </c>
      <c r="C501" s="1" t="n">
        <v>46186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32214-2024</t>
        </is>
      </c>
      <c r="B502" s="1" t="n">
        <v>45511</v>
      </c>
      <c r="C502" s="1" t="n">
        <v>46186</v>
      </c>
      <c r="D502" t="inlineStr">
        <is>
          <t>ÖREBRO LÄN</t>
        </is>
      </c>
      <c r="E502" t="inlineStr">
        <is>
          <t>ASKERSUND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52518-2022</t>
        </is>
      </c>
      <c r="B503" s="1" t="n">
        <v>44874</v>
      </c>
      <c r="C503" s="1" t="n">
        <v>46186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4474-2024</t>
        </is>
      </c>
      <c r="B504" s="1" t="n">
        <v>45327</v>
      </c>
      <c r="C504" s="1" t="n">
        <v>46186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45339-2022</t>
        </is>
      </c>
      <c r="B505" s="1" t="n">
        <v>44844</v>
      </c>
      <c r="C505" s="1" t="n">
        <v>46186</v>
      </c>
      <c r="D505" t="inlineStr">
        <is>
          <t>ÖREBRO LÄN</t>
        </is>
      </c>
      <c r="E505" t="inlineStr">
        <is>
          <t>ASKERSUND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11968-2023</t>
        </is>
      </c>
      <c r="B506" s="1" t="n">
        <v>44995.5708912037</v>
      </c>
      <c r="C506" s="1" t="n">
        <v>46186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43471-2023</t>
        </is>
      </c>
      <c r="B507" s="1" t="n">
        <v>45184.41854166667</v>
      </c>
      <c r="C507" s="1" t="n">
        <v>46186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58155-2021</t>
        </is>
      </c>
      <c r="B508" s="1" t="n">
        <v>44487</v>
      </c>
      <c r="C508" s="1" t="n">
        <v>46186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25808-2022</t>
        </is>
      </c>
      <c r="B509" s="1" t="n">
        <v>44733</v>
      </c>
      <c r="C509" s="1" t="n">
        <v>46186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44976-2021</t>
        </is>
      </c>
      <c r="B510" s="1" t="n">
        <v>44438</v>
      </c>
      <c r="C510" s="1" t="n">
        <v>46186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29116-2024</t>
        </is>
      </c>
      <c r="B511" s="1" t="n">
        <v>45481.97215277778</v>
      </c>
      <c r="C511" s="1" t="n">
        <v>46186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61517-2021</t>
        </is>
      </c>
      <c r="B512" s="1" t="n">
        <v>44501</v>
      </c>
      <c r="C512" s="1" t="n">
        <v>46186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51239-2021</t>
        </is>
      </c>
      <c r="B513" s="1" t="n">
        <v>44461.52310185185</v>
      </c>
      <c r="C513" s="1" t="n">
        <v>46186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46186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13780-2023</t>
        </is>
      </c>
      <c r="B515" s="1" t="n">
        <v>45007.47386574074</v>
      </c>
      <c r="C515" s="1" t="n">
        <v>46186</v>
      </c>
      <c r="D515" t="inlineStr">
        <is>
          <t>ÖREBRO LÄN</t>
        </is>
      </c>
      <c r="E515" t="inlineStr">
        <is>
          <t>ASKERSUND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59587-2023</t>
        </is>
      </c>
      <c r="B516" s="1" t="n">
        <v>45254</v>
      </c>
      <c r="C516" s="1" t="n">
        <v>46186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60959-2021</t>
        </is>
      </c>
      <c r="B517" s="1" t="n">
        <v>44497</v>
      </c>
      <c r="C517" s="1" t="n">
        <v>46186</v>
      </c>
      <c r="D517" t="inlineStr">
        <is>
          <t>ÖREBRO LÄN</t>
        </is>
      </c>
      <c r="E517" t="inlineStr">
        <is>
          <t>ASKERSUND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50014-2021</t>
        </is>
      </c>
      <c r="B518" s="1" t="n">
        <v>44456.4811574074</v>
      </c>
      <c r="C518" s="1" t="n">
        <v>46186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29127-2024</t>
        </is>
      </c>
      <c r="B519" s="1" t="n">
        <v>45481</v>
      </c>
      <c r="C519" s="1" t="n">
        <v>46186</v>
      </c>
      <c r="D519" t="inlineStr">
        <is>
          <t>ÖREBRO LÄN</t>
        </is>
      </c>
      <c r="E519" t="inlineStr">
        <is>
          <t>ASKERSUND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46186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59562-2022</t>
        </is>
      </c>
      <c r="B521" s="1" t="n">
        <v>44907.60333333333</v>
      </c>
      <c r="C521" s="1" t="n">
        <v>46186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2026-06-13T09:25:19Z</dcterms:created>
  <dcterms:modified xmlns:dcterms="http://purl.org/dc/terms/" xmlns:xsi="http://www.w3.org/2001/XMLSchema-instance" xsi:type="dcterms:W3CDTF">2026-06-13T09:25:20Z</dcterms:modified>
</cp:coreProperties>
</file>