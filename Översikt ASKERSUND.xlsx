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46197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46197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46197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46197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46197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46197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46197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401-2023</t>
        </is>
      </c>
      <c r="B9" s="1" t="n">
        <v>44929</v>
      </c>
      <c r="C9" s="1" t="n">
        <v>46197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3.6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Blanksvart spiklav
Nordfladdermus
Talltita
Mattlummer
Vanlig groda
Fläcknycklar</t>
        </is>
      </c>
      <c r="S9">
        <f>HYPERLINK("https://klasma.github.io/Logging_1882/artfynd/A 401-2023 artfynd.xlsx", "A 401-2023")</f>
        <v/>
      </c>
      <c r="T9">
        <f>HYPERLINK("https://klasma.github.io/Logging_1882/kartor/A 401-2023 karta.png", "A 401-2023")</f>
        <v/>
      </c>
      <c r="V9">
        <f>HYPERLINK("https://klasma.github.io/Logging_1882/klagomål/A 401-2023 FSC-klagomål.docx", "A 401-2023")</f>
        <v/>
      </c>
      <c r="W9">
        <f>HYPERLINK("https://klasma.github.io/Logging_1882/klagomålsmail/A 401-2023 FSC-klagomål mail.docx", "A 401-2023")</f>
        <v/>
      </c>
      <c r="X9">
        <f>HYPERLINK("https://klasma.github.io/Logging_1882/tillsyn/A 401-2023 tillsynsbegäran.docx", "A 401-2023")</f>
        <v/>
      </c>
      <c r="Y9">
        <f>HYPERLINK("https://klasma.github.io/Logging_1882/tillsynsmail/A 401-2023 tillsynsbegäran mail.docx", "A 401-2023")</f>
        <v/>
      </c>
      <c r="Z9">
        <f>HYPERLINK("https://klasma.github.io/Logging_1882/fåglar/A 401-2023 prioriterade fågelarter.docx", "A 401-2023")</f>
        <v/>
      </c>
    </row>
    <row r="10" ht="15" customHeight="1">
      <c r="A10" t="inlineStr">
        <is>
          <t>A 18263-2026</t>
        </is>
      </c>
      <c r="B10" s="1" t="n">
        <v>46126</v>
      </c>
      <c r="C10" s="1" t="n">
        <v>46197</v>
      </c>
      <c r="D10" t="inlineStr">
        <is>
          <t>ÖREBRO LÄN</t>
        </is>
      </c>
      <c r="E10" t="inlineStr">
        <is>
          <t>ASKERSUND</t>
        </is>
      </c>
      <c r="G10" t="n">
        <v>4.3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Gul dropplav
Tallticka
Vedticka
Grönsiska
Fläcknycklar</t>
        </is>
      </c>
      <c r="S10">
        <f>HYPERLINK("https://klasma.github.io/Logging_1882/artfynd/A 18263-2026 artfynd.xlsx", "A 18263-2026")</f>
        <v/>
      </c>
      <c r="T10">
        <f>HYPERLINK("https://klasma.github.io/Logging_1882/kartor/A 18263-2026 karta.png", "A 18263-2026")</f>
        <v/>
      </c>
      <c r="V10">
        <f>HYPERLINK("https://klasma.github.io/Logging_1882/klagomål/A 18263-2026 FSC-klagomål.docx", "A 18263-2026")</f>
        <v/>
      </c>
      <c r="W10">
        <f>HYPERLINK("https://klasma.github.io/Logging_1882/klagomålsmail/A 18263-2026 FSC-klagomål mail.docx", "A 18263-2026")</f>
        <v/>
      </c>
      <c r="X10">
        <f>HYPERLINK("https://klasma.github.io/Logging_1882/tillsyn/A 18263-2026 tillsynsbegäran.docx", "A 18263-2026")</f>
        <v/>
      </c>
      <c r="Y10">
        <f>HYPERLINK("https://klasma.github.io/Logging_1882/tillsynsmail/A 18263-2026 tillsynsbegäran mail.docx", "A 18263-2026")</f>
        <v/>
      </c>
    </row>
    <row r="11" ht="15" customHeight="1">
      <c r="A11" t="inlineStr">
        <is>
          <t>A 27550-2023</t>
        </is>
      </c>
      <c r="B11" s="1" t="n">
        <v>45092</v>
      </c>
      <c r="C11" s="1" t="n">
        <v>46197</v>
      </c>
      <c r="D11" t="inlineStr">
        <is>
          <t>ÖREBRO LÄN</t>
        </is>
      </c>
      <c r="E11" t="inlineStr">
        <is>
          <t>ASKERSUND</t>
        </is>
      </c>
      <c r="G11" t="n">
        <v>3.6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27550-2023 artfynd.xlsx", "A 27550-2023")</f>
        <v/>
      </c>
      <c r="T11">
        <f>HYPERLINK("https://klasma.github.io/Logging_1882/kartor/A 27550-2023 karta.png", "A 27550-2023")</f>
        <v/>
      </c>
      <c r="V11">
        <f>HYPERLINK("https://klasma.github.io/Logging_1882/klagomål/A 27550-2023 FSC-klagomål.docx", "A 27550-2023")</f>
        <v/>
      </c>
      <c r="W11">
        <f>HYPERLINK("https://klasma.github.io/Logging_1882/klagomålsmail/A 27550-2023 FSC-klagomål mail.docx", "A 27550-2023")</f>
        <v/>
      </c>
      <c r="X11">
        <f>HYPERLINK("https://klasma.github.io/Logging_1882/tillsyn/A 27550-2023 tillsynsbegäran.docx", "A 27550-2023")</f>
        <v/>
      </c>
      <c r="Y11">
        <f>HYPERLINK("https://klasma.github.io/Logging_1882/tillsynsmail/A 27550-2023 tillsynsbegäran mail.docx", "A 27550-2023")</f>
        <v/>
      </c>
    </row>
    <row r="12" ht="15" customHeight="1">
      <c r="A12" t="inlineStr">
        <is>
          <t>A 43619-2024</t>
        </is>
      </c>
      <c r="B12" s="1" t="n">
        <v>45569</v>
      </c>
      <c r="C12" s="1" t="n">
        <v>46197</v>
      </c>
      <c r="D12" t="inlineStr">
        <is>
          <t>ÖREBRO LÄN</t>
        </is>
      </c>
      <c r="E12" t="inlineStr">
        <is>
          <t>ASKERSUND</t>
        </is>
      </c>
      <c r="G12" t="n">
        <v>6.8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Barkkornlav
Scytinium lichenoides s.lat.
Stenporella
Svart trolldruva
Blåsippa</t>
        </is>
      </c>
      <c r="S12">
        <f>HYPERLINK("https://klasma.github.io/Logging_1882/artfynd/A 43619-2024 artfynd.xlsx", "A 43619-2024")</f>
        <v/>
      </c>
      <c r="T12">
        <f>HYPERLINK("https://klasma.github.io/Logging_1882/kartor/A 43619-2024 karta.png", "A 43619-2024")</f>
        <v/>
      </c>
      <c r="V12">
        <f>HYPERLINK("https://klasma.github.io/Logging_1882/klagomål/A 43619-2024 FSC-klagomål.docx", "A 43619-2024")</f>
        <v/>
      </c>
      <c r="W12">
        <f>HYPERLINK("https://klasma.github.io/Logging_1882/klagomålsmail/A 43619-2024 FSC-klagomål mail.docx", "A 43619-2024")</f>
        <v/>
      </c>
      <c r="X12">
        <f>HYPERLINK("https://klasma.github.io/Logging_1882/tillsyn/A 43619-2024 tillsynsbegäran.docx", "A 43619-2024")</f>
        <v/>
      </c>
      <c r="Y12">
        <f>HYPERLINK("https://klasma.github.io/Logging_1882/tillsynsmail/A 43619-2024 tillsynsbegäran mail.docx", "A 43619-2024")</f>
        <v/>
      </c>
    </row>
    <row r="13" ht="15" customHeight="1">
      <c r="A13" t="inlineStr">
        <is>
          <t>A 31967-2023</t>
        </is>
      </c>
      <c r="B13" s="1" t="n">
        <v>45107</v>
      </c>
      <c r="C13" s="1" t="n">
        <v>46197</v>
      </c>
      <c r="D13" t="inlineStr">
        <is>
          <t>ÖREBRO LÄN</t>
        </is>
      </c>
      <c r="E13" t="inlineStr">
        <is>
          <t>ASKERSUND</t>
        </is>
      </c>
      <c r="G13" t="n">
        <v>1.2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Kandelabersvamp
Blåsfliksmossa
Gulnål
Trubbfjädermossa
Utter</t>
        </is>
      </c>
      <c r="S13">
        <f>HYPERLINK("https://klasma.github.io/Logging_1882/artfynd/A 31967-2023 artfynd.xlsx", "A 31967-2023")</f>
        <v/>
      </c>
      <c r="T13">
        <f>HYPERLINK("https://klasma.github.io/Logging_1882/kartor/A 31967-2023 karta.png", "A 31967-2023")</f>
        <v/>
      </c>
      <c r="V13">
        <f>HYPERLINK("https://klasma.github.io/Logging_1882/klagomål/A 31967-2023 FSC-klagomål.docx", "A 31967-2023")</f>
        <v/>
      </c>
      <c r="W13">
        <f>HYPERLINK("https://klasma.github.io/Logging_1882/klagomålsmail/A 31967-2023 FSC-klagomål mail.docx", "A 31967-2023")</f>
        <v/>
      </c>
      <c r="X13">
        <f>HYPERLINK("https://klasma.github.io/Logging_1882/tillsyn/A 31967-2023 tillsynsbegäran.docx", "A 31967-2023")</f>
        <v/>
      </c>
      <c r="Y13">
        <f>HYPERLINK("https://klasma.github.io/Logging_1882/tillsynsmail/A 31967-2023 tillsynsbegäran mail.docx", "A 31967-2023")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46197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3945-2022</t>
        </is>
      </c>
      <c r="B15" s="1" t="n">
        <v>44587</v>
      </c>
      <c r="C15" s="1" t="n">
        <v>46197</v>
      </c>
      <c r="D15" t="inlineStr">
        <is>
          <t>ÖREBRO LÄN</t>
        </is>
      </c>
      <c r="E15" t="inlineStr">
        <is>
          <t>ASKERSUND</t>
        </is>
      </c>
      <c r="G15" t="n">
        <v>1.5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Vedticka
Tjäder
Revlummer</t>
        </is>
      </c>
      <c r="S15">
        <f>HYPERLINK("https://klasma.github.io/Logging_1882/artfynd/A 3945-2022 artfynd.xlsx", "A 3945-2022")</f>
        <v/>
      </c>
      <c r="T15">
        <f>HYPERLINK("https://klasma.github.io/Logging_1882/kartor/A 3945-2022 karta.png", "A 3945-2022")</f>
        <v/>
      </c>
      <c r="V15">
        <f>HYPERLINK("https://klasma.github.io/Logging_1882/klagomål/A 3945-2022 FSC-klagomål.docx", "A 3945-2022")</f>
        <v/>
      </c>
      <c r="W15">
        <f>HYPERLINK("https://klasma.github.io/Logging_1882/klagomålsmail/A 3945-2022 FSC-klagomål mail.docx", "A 3945-2022")</f>
        <v/>
      </c>
      <c r="X15">
        <f>HYPERLINK("https://klasma.github.io/Logging_1882/tillsyn/A 3945-2022 tillsynsbegäran.docx", "A 3945-2022")</f>
        <v/>
      </c>
      <c r="Y15">
        <f>HYPERLINK("https://klasma.github.io/Logging_1882/tillsynsmail/A 3945-2022 tillsynsbegäran mail.docx", "A 3945-2022")</f>
        <v/>
      </c>
      <c r="Z15">
        <f>HYPERLINK("https://klasma.github.io/Logging_1882/fåglar/A 3945-2022 prioriterade fågelarter.docx", "A 3945-2022")</f>
        <v/>
      </c>
    </row>
    <row r="16" ht="15" customHeight="1">
      <c r="A16" t="inlineStr">
        <is>
          <t>A 2441-2025</t>
        </is>
      </c>
      <c r="B16" s="1" t="n">
        <v>45674</v>
      </c>
      <c r="C16" s="1" t="n">
        <v>46197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Solvända
Svart trolldruva
Blåsippa
Grönvit nattviol</t>
        </is>
      </c>
      <c r="S16">
        <f>HYPERLINK("https://klasma.github.io/Logging_1882/artfynd/A 2441-2025 artfynd.xlsx", "A 2441-2025")</f>
        <v/>
      </c>
      <c r="T16">
        <f>HYPERLINK("https://klasma.github.io/Logging_1882/kartor/A 2441-2025 karta.png", "A 2441-2025")</f>
        <v/>
      </c>
      <c r="V16">
        <f>HYPERLINK("https://klasma.github.io/Logging_1882/klagomål/A 2441-2025 FSC-klagomål.docx", "A 2441-2025")</f>
        <v/>
      </c>
      <c r="W16">
        <f>HYPERLINK("https://klasma.github.io/Logging_1882/klagomålsmail/A 2441-2025 FSC-klagomål mail.docx", "A 2441-2025")</f>
        <v/>
      </c>
      <c r="X16">
        <f>HYPERLINK("https://klasma.github.io/Logging_1882/tillsyn/A 2441-2025 tillsynsbegäran.docx", "A 2441-2025")</f>
        <v/>
      </c>
      <c r="Y16">
        <f>HYPERLINK("https://klasma.github.io/Logging_1882/tillsynsmail/A 2441-2025 tillsynsbegäran mail.docx", "A 2441-2025")</f>
        <v/>
      </c>
    </row>
    <row r="17" ht="15" customHeight="1">
      <c r="A17" t="inlineStr">
        <is>
          <t>A 3669-2023</t>
        </is>
      </c>
      <c r="B17" s="1" t="n">
        <v>44950</v>
      </c>
      <c r="C17" s="1" t="n">
        <v>46197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Dropptaggsvamp
Gropticka
Motaggsvamp
Blåmossa</t>
        </is>
      </c>
      <c r="S17">
        <f>HYPERLINK("https://klasma.github.io/Logging_1882/artfynd/A 3669-2023 artfynd.xlsx", "A 3669-2023")</f>
        <v/>
      </c>
      <c r="T17">
        <f>HYPERLINK("https://klasma.github.io/Logging_1882/kartor/A 3669-2023 karta.png", "A 3669-2023")</f>
        <v/>
      </c>
      <c r="V17">
        <f>HYPERLINK("https://klasma.github.io/Logging_1882/klagomål/A 3669-2023 FSC-klagomål.docx", "A 3669-2023")</f>
        <v/>
      </c>
      <c r="W17">
        <f>HYPERLINK("https://klasma.github.io/Logging_1882/klagomålsmail/A 3669-2023 FSC-klagomål mail.docx", "A 3669-2023")</f>
        <v/>
      </c>
      <c r="X17">
        <f>HYPERLINK("https://klasma.github.io/Logging_1882/tillsyn/A 3669-2023 tillsynsbegäran.docx", "A 3669-2023")</f>
        <v/>
      </c>
      <c r="Y17">
        <f>HYPERLINK("https://klasma.github.io/Logging_1882/tillsynsmail/A 3669-2023 tillsynsbegäran mail.docx", "A 3669-2023")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46197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Ask
Svinrot
Vårstarr
Spillkråka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62084-2024</t>
        </is>
      </c>
      <c r="B19" s="1" t="n">
        <v>45656</v>
      </c>
      <c r="C19" s="1" t="n">
        <v>46197</v>
      </c>
      <c r="D19" t="inlineStr">
        <is>
          <t>ÖREBRO LÄN</t>
        </is>
      </c>
      <c r="E19" t="inlineStr">
        <is>
          <t>ASKERSUND</t>
        </is>
      </c>
      <c r="G19" t="n">
        <v>0.8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Blodvaxing
Gulvaxing
Ängsfingersvamp
Ängsvaxing agg.</t>
        </is>
      </c>
      <c r="S19">
        <f>HYPERLINK("https://klasma.github.io/Logging_1882/artfynd/A 62084-2024 artfynd.xlsx", "A 62084-2024")</f>
        <v/>
      </c>
      <c r="T19">
        <f>HYPERLINK("https://klasma.github.io/Logging_1882/kartor/A 62084-2024 karta.png", "A 62084-2024")</f>
        <v/>
      </c>
      <c r="V19">
        <f>HYPERLINK("https://klasma.github.io/Logging_1882/klagomål/A 62084-2024 FSC-klagomål.docx", "A 62084-2024")</f>
        <v/>
      </c>
      <c r="W19">
        <f>HYPERLINK("https://klasma.github.io/Logging_1882/klagomålsmail/A 62084-2024 FSC-klagomål mail.docx", "A 62084-2024")</f>
        <v/>
      </c>
      <c r="X19">
        <f>HYPERLINK("https://klasma.github.io/Logging_1882/tillsyn/A 62084-2024 tillsynsbegäran.docx", "A 62084-2024")</f>
        <v/>
      </c>
      <c r="Y19">
        <f>HYPERLINK("https://klasma.github.io/Logging_1882/tillsynsmail/A 62084-2024 tillsynsbegäran mail.docx", "A 62084-2024")</f>
        <v/>
      </c>
    </row>
    <row r="20" ht="15" customHeight="1">
      <c r="A20" t="inlineStr">
        <is>
          <t>A 52264-2021</t>
        </is>
      </c>
      <c r="B20" s="1" t="n">
        <v>44463</v>
      </c>
      <c r="C20" s="1" t="n">
        <v>46197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52264-2021 artfynd.xlsx", "A 52264-2021")</f>
        <v/>
      </c>
      <c r="T20">
        <f>HYPERLINK("https://klasma.github.io/Logging_1882/kartor/A 52264-2021 karta.png", "A 52264-2021")</f>
        <v/>
      </c>
      <c r="V20">
        <f>HYPERLINK("https://klasma.github.io/Logging_1882/klagomål/A 52264-2021 FSC-klagomål.docx", "A 52264-2021")</f>
        <v/>
      </c>
      <c r="W20">
        <f>HYPERLINK("https://klasma.github.io/Logging_1882/klagomålsmail/A 52264-2021 FSC-klagomål mail.docx", "A 52264-2021")</f>
        <v/>
      </c>
      <c r="X20">
        <f>HYPERLINK("https://klasma.github.io/Logging_1882/tillsyn/A 52264-2021 tillsynsbegäran.docx", "A 52264-2021")</f>
        <v/>
      </c>
      <c r="Y20">
        <f>HYPERLINK("https://klasma.github.io/Logging_1882/tillsynsmail/A 52264-2021 tillsynsbegäran mail.docx", "A 52264-2021")</f>
        <v/>
      </c>
    </row>
    <row r="21" ht="15" customHeight="1">
      <c r="A21" t="inlineStr">
        <is>
          <t>A 52268-2021</t>
        </is>
      </c>
      <c r="B21" s="1" t="n">
        <v>44463</v>
      </c>
      <c r="C21" s="1" t="n">
        <v>46197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Jungfrulin
Svart trolldruva
Blåsippa</t>
        </is>
      </c>
      <c r="S21">
        <f>HYPERLINK("https://klasma.github.io/Logging_1882/artfynd/A 52268-2021 artfynd.xlsx", "A 52268-2021")</f>
        <v/>
      </c>
      <c r="T21">
        <f>HYPERLINK("https://klasma.github.io/Logging_1882/kartor/A 52268-2021 karta.png", "A 52268-2021")</f>
        <v/>
      </c>
      <c r="V21">
        <f>HYPERLINK("https://klasma.github.io/Logging_1882/klagomål/A 52268-2021 FSC-klagomål.docx", "A 52268-2021")</f>
        <v/>
      </c>
      <c r="W21">
        <f>HYPERLINK("https://klasma.github.io/Logging_1882/klagomålsmail/A 52268-2021 FSC-klagomål mail.docx", "A 52268-2021")</f>
        <v/>
      </c>
      <c r="X21">
        <f>HYPERLINK("https://klasma.github.io/Logging_1882/tillsyn/A 52268-2021 tillsynsbegäran.docx", "A 52268-2021")</f>
        <v/>
      </c>
      <c r="Y21">
        <f>HYPERLINK("https://klasma.github.io/Logging_1882/tillsynsmail/A 52268-2021 tillsynsbegäran mail.docx", "A 52268-2021")</f>
        <v/>
      </c>
    </row>
    <row r="22" ht="15" customHeight="1">
      <c r="A22" t="inlineStr">
        <is>
          <t>A 66341-2021</t>
        </is>
      </c>
      <c r="B22" s="1" t="n">
        <v>44518</v>
      </c>
      <c r="C22" s="1" t="n">
        <v>46197</v>
      </c>
      <c r="D22" t="inlineStr">
        <is>
          <t>ÖREBRO LÄN</t>
        </is>
      </c>
      <c r="E22" t="inlineStr">
        <is>
          <t>ASKERSUND</t>
        </is>
      </c>
      <c r="G22" t="n">
        <v>1.2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Blåmossa
Skuggmossa</t>
        </is>
      </c>
      <c r="S22">
        <f>HYPERLINK("https://klasma.github.io/Logging_1882/artfynd/A 66341-2021 artfynd.xlsx", "A 66341-2021")</f>
        <v/>
      </c>
      <c r="T22">
        <f>HYPERLINK("https://klasma.github.io/Logging_1882/kartor/A 66341-2021 karta.png", "A 66341-2021")</f>
        <v/>
      </c>
      <c r="V22">
        <f>HYPERLINK("https://klasma.github.io/Logging_1882/klagomål/A 66341-2021 FSC-klagomål.docx", "A 66341-2021")</f>
        <v/>
      </c>
      <c r="W22">
        <f>HYPERLINK("https://klasma.github.io/Logging_1882/klagomålsmail/A 66341-2021 FSC-klagomål mail.docx", "A 66341-2021")</f>
        <v/>
      </c>
      <c r="X22">
        <f>HYPERLINK("https://klasma.github.io/Logging_1882/tillsyn/A 66341-2021 tillsynsbegäran.docx", "A 66341-2021")</f>
        <v/>
      </c>
      <c r="Y22">
        <f>HYPERLINK("https://klasma.github.io/Logging_1882/tillsynsmail/A 66341-2021 tillsynsbegäran mail.docx", "A 66341-2021")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46197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Vanlig groda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29366-2025</t>
        </is>
      </c>
      <c r="B24" s="1" t="n">
        <v>45824</v>
      </c>
      <c r="C24" s="1" t="n">
        <v>46197</v>
      </c>
      <c r="D24" t="inlineStr">
        <is>
          <t>ÖREBRO LÄN</t>
        </is>
      </c>
      <c r="E24" t="inlineStr">
        <is>
          <t>ASKERSUND</t>
        </is>
      </c>
      <c r="G24" t="n">
        <v>10.9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Svart trolldruva
Tibast</t>
        </is>
      </c>
      <c r="S24">
        <f>HYPERLINK("https://klasma.github.io/Logging_1882/artfynd/A 29366-2025 artfynd.xlsx", "A 29366-2025")</f>
        <v/>
      </c>
      <c r="T24">
        <f>HYPERLINK("https://klasma.github.io/Logging_1882/kartor/A 29366-2025 karta.png", "A 29366-2025")</f>
        <v/>
      </c>
      <c r="V24">
        <f>HYPERLINK("https://klasma.github.io/Logging_1882/klagomål/A 29366-2025 FSC-klagomål.docx", "A 29366-2025")</f>
        <v/>
      </c>
      <c r="W24">
        <f>HYPERLINK("https://klasma.github.io/Logging_1882/klagomålsmail/A 29366-2025 FSC-klagomål mail.docx", "A 29366-2025")</f>
        <v/>
      </c>
      <c r="X24">
        <f>HYPERLINK("https://klasma.github.io/Logging_1882/tillsyn/A 29366-2025 tillsynsbegäran.docx", "A 29366-2025")</f>
        <v/>
      </c>
      <c r="Y24">
        <f>HYPERLINK("https://klasma.github.io/Logging_1882/tillsynsmail/A 29366-2025 tillsynsbegäran mail.docx", "A 29366-2025")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46197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11519-2023</t>
        </is>
      </c>
      <c r="B26" s="1" t="n">
        <v>44993</v>
      </c>
      <c r="C26" s="1" t="n">
        <v>46197</v>
      </c>
      <c r="D26" t="inlineStr">
        <is>
          <t>ÖREBRO LÄN</t>
        </is>
      </c>
      <c r="E26" t="inlineStr">
        <is>
          <t>ASKERSUND</t>
        </is>
      </c>
      <c r="G26" t="n">
        <v>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Vågbandad barkbock
Tjäder
Revlummer</t>
        </is>
      </c>
      <c r="S26">
        <f>HYPERLINK("https://klasma.github.io/Logging_1882/artfynd/A 11519-2023 artfynd.xlsx", "A 11519-2023")</f>
        <v/>
      </c>
      <c r="T26">
        <f>HYPERLINK("https://klasma.github.io/Logging_1882/kartor/A 11519-2023 karta.png", "A 11519-2023")</f>
        <v/>
      </c>
      <c r="V26">
        <f>HYPERLINK("https://klasma.github.io/Logging_1882/klagomål/A 11519-2023 FSC-klagomål.docx", "A 11519-2023")</f>
        <v/>
      </c>
      <c r="W26">
        <f>HYPERLINK("https://klasma.github.io/Logging_1882/klagomålsmail/A 11519-2023 FSC-klagomål mail.docx", "A 11519-2023")</f>
        <v/>
      </c>
      <c r="X26">
        <f>HYPERLINK("https://klasma.github.io/Logging_1882/tillsyn/A 11519-2023 tillsynsbegäran.docx", "A 11519-2023")</f>
        <v/>
      </c>
      <c r="Y26">
        <f>HYPERLINK("https://klasma.github.io/Logging_1882/tillsynsmail/A 11519-2023 tillsynsbegäran mail.docx", "A 11519-2023")</f>
        <v/>
      </c>
      <c r="Z26">
        <f>HYPERLINK("https://klasma.github.io/Logging_1882/fåglar/A 11519-2023 prioriterade fågelarter.docx", "A 11519-2023")</f>
        <v/>
      </c>
    </row>
    <row r="27" ht="15" customHeight="1">
      <c r="A27" t="inlineStr">
        <is>
          <t>A 34515-2024</t>
        </is>
      </c>
      <c r="B27" s="1" t="n">
        <v>45525</v>
      </c>
      <c r="C27" s="1" t="n">
        <v>46197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1.5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Trubbfjädermossa
Blåsippa
Gröngöling</t>
        </is>
      </c>
      <c r="S27">
        <f>HYPERLINK("https://klasma.github.io/Logging_1882/artfynd/A 34515-2024 artfynd.xlsx", "A 34515-2024")</f>
        <v/>
      </c>
      <c r="T27">
        <f>HYPERLINK("https://klasma.github.io/Logging_1882/kartor/A 34515-2024 karta.png", "A 34515-2024")</f>
        <v/>
      </c>
      <c r="V27">
        <f>HYPERLINK("https://klasma.github.io/Logging_1882/klagomål/A 34515-2024 FSC-klagomål.docx", "A 34515-2024")</f>
        <v/>
      </c>
      <c r="W27">
        <f>HYPERLINK("https://klasma.github.io/Logging_1882/klagomålsmail/A 34515-2024 FSC-klagomål mail.docx", "A 34515-2024")</f>
        <v/>
      </c>
      <c r="X27">
        <f>HYPERLINK("https://klasma.github.io/Logging_1882/tillsyn/A 34515-2024 tillsynsbegäran.docx", "A 34515-2024")</f>
        <v/>
      </c>
      <c r="Y27">
        <f>HYPERLINK("https://klasma.github.io/Logging_1882/tillsynsmail/A 34515-2024 tillsynsbegäran mail.docx", "A 34515-2024")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46197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38299-2022</t>
        </is>
      </c>
      <c r="B29" s="1" t="n">
        <v>44812</v>
      </c>
      <c r="C29" s="1" t="n">
        <v>46197</v>
      </c>
      <c r="D29" t="inlineStr">
        <is>
          <t>ÖREBRO LÄN</t>
        </is>
      </c>
      <c r="E29" t="inlineStr">
        <is>
          <t>ASKERSUND</t>
        </is>
      </c>
      <c r="G29" t="n">
        <v>6.2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Mörk husmossa
Skogshakmossa
Nattviol</t>
        </is>
      </c>
      <c r="S29">
        <f>HYPERLINK("https://klasma.github.io/Logging_1882/artfynd/A 38299-2022 artfynd.xlsx", "A 38299-2022")</f>
        <v/>
      </c>
      <c r="T29">
        <f>HYPERLINK("https://klasma.github.io/Logging_1882/kartor/A 38299-2022 karta.png", "A 38299-2022")</f>
        <v/>
      </c>
      <c r="V29">
        <f>HYPERLINK("https://klasma.github.io/Logging_1882/klagomål/A 38299-2022 FSC-klagomål.docx", "A 38299-2022")</f>
        <v/>
      </c>
      <c r="W29">
        <f>HYPERLINK("https://klasma.github.io/Logging_1882/klagomålsmail/A 38299-2022 FSC-klagomål mail.docx", "A 38299-2022")</f>
        <v/>
      </c>
      <c r="X29">
        <f>HYPERLINK("https://klasma.github.io/Logging_1882/tillsyn/A 38299-2022 tillsynsbegäran.docx", "A 38299-2022")</f>
        <v/>
      </c>
      <c r="Y29">
        <f>HYPERLINK("https://klasma.github.io/Logging_1882/tillsynsmail/A 38299-2022 tillsynsbegäran mail.docx", "A 38299-2022")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46197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3731-2025</t>
        </is>
      </c>
      <c r="B31" s="1" t="n">
        <v>45681</v>
      </c>
      <c r="C31" s="1" t="n">
        <v>46197</v>
      </c>
      <c r="D31" t="inlineStr">
        <is>
          <t>ÖREBRO LÄN</t>
        </is>
      </c>
      <c r="E31" t="inlineStr">
        <is>
          <t>ASKERSUND</t>
        </is>
      </c>
      <c r="G31" t="n">
        <v>1.5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Slåttergubbe
Slåtterfibbla
Svinrot</t>
        </is>
      </c>
      <c r="S31">
        <f>HYPERLINK("https://klasma.github.io/Logging_1882/artfynd/A 3731-2025 artfynd.xlsx", "A 3731-2025")</f>
        <v/>
      </c>
      <c r="T31">
        <f>HYPERLINK("https://klasma.github.io/Logging_1882/kartor/A 3731-2025 karta.png", "A 3731-2025")</f>
        <v/>
      </c>
      <c r="V31">
        <f>HYPERLINK("https://klasma.github.io/Logging_1882/klagomål/A 3731-2025 FSC-klagomål.docx", "A 3731-2025")</f>
        <v/>
      </c>
      <c r="W31">
        <f>HYPERLINK("https://klasma.github.io/Logging_1882/klagomålsmail/A 3731-2025 FSC-klagomål mail.docx", "A 3731-2025")</f>
        <v/>
      </c>
      <c r="X31">
        <f>HYPERLINK("https://klasma.github.io/Logging_1882/tillsyn/A 3731-2025 tillsynsbegäran.docx", "A 3731-2025")</f>
        <v/>
      </c>
      <c r="Y31">
        <f>HYPERLINK("https://klasma.github.io/Logging_1882/tillsynsmail/A 3731-2025 tillsynsbegäran mail.docx", "A 3731-2025")</f>
        <v/>
      </c>
    </row>
    <row r="32" ht="15" customHeight="1">
      <c r="A32" t="inlineStr">
        <is>
          <t>A 32709-2021</t>
        </is>
      </c>
      <c r="B32" s="1" t="n">
        <v>44375</v>
      </c>
      <c r="C32" s="1" t="n">
        <v>46197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6.8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Bivråk
Skogsklocka</t>
        </is>
      </c>
      <c r="S32">
        <f>HYPERLINK("https://klasma.github.io/Logging_1882/artfynd/A 32709-2021 artfynd.xlsx", "A 32709-2021")</f>
        <v/>
      </c>
      <c r="T32">
        <f>HYPERLINK("https://klasma.github.io/Logging_1882/kartor/A 32709-2021 karta.png", "A 32709-2021")</f>
        <v/>
      </c>
      <c r="V32">
        <f>HYPERLINK("https://klasma.github.io/Logging_1882/klagomål/A 32709-2021 FSC-klagomål.docx", "A 32709-2021")</f>
        <v/>
      </c>
      <c r="W32">
        <f>HYPERLINK("https://klasma.github.io/Logging_1882/klagomålsmail/A 32709-2021 FSC-klagomål mail.docx", "A 32709-2021")</f>
        <v/>
      </c>
      <c r="X32">
        <f>HYPERLINK("https://klasma.github.io/Logging_1882/tillsyn/A 32709-2021 tillsynsbegäran.docx", "A 32709-2021")</f>
        <v/>
      </c>
      <c r="Y32">
        <f>HYPERLINK("https://klasma.github.io/Logging_1882/tillsynsmail/A 32709-2021 tillsynsbegäran mail.docx", "A 32709-2021")</f>
        <v/>
      </c>
      <c r="Z32">
        <f>HYPERLINK("https://klasma.github.io/Logging_1882/fåglar/A 32709-2021 prioriterade fågelarter.docx", "A 32709-2021")</f>
        <v/>
      </c>
    </row>
    <row r="33" ht="15" customHeight="1">
      <c r="A33" t="inlineStr">
        <is>
          <t>A 22787-2022</t>
        </is>
      </c>
      <c r="B33" s="1" t="n">
        <v>44714</v>
      </c>
      <c r="C33" s="1" t="n">
        <v>46197</v>
      </c>
      <c r="D33" t="inlineStr">
        <is>
          <t>ÖREBRO LÄN</t>
        </is>
      </c>
      <c r="E33" t="inlineStr">
        <is>
          <t>ASKERSUND</t>
        </is>
      </c>
      <c r="G33" t="n">
        <v>3.7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Revlummer</t>
        </is>
      </c>
      <c r="S33">
        <f>HYPERLINK("https://klasma.github.io/Logging_1882/artfynd/A 22787-2022 artfynd.xlsx", "A 22787-2022")</f>
        <v/>
      </c>
      <c r="T33">
        <f>HYPERLINK("https://klasma.github.io/Logging_1882/kartor/A 22787-2022 karta.png", "A 22787-2022")</f>
        <v/>
      </c>
      <c r="V33">
        <f>HYPERLINK("https://klasma.github.io/Logging_1882/klagomål/A 22787-2022 FSC-klagomål.docx", "A 22787-2022")</f>
        <v/>
      </c>
      <c r="W33">
        <f>HYPERLINK("https://klasma.github.io/Logging_1882/klagomålsmail/A 22787-2022 FSC-klagomål mail.docx", "A 22787-2022")</f>
        <v/>
      </c>
      <c r="X33">
        <f>HYPERLINK("https://klasma.github.io/Logging_1882/tillsyn/A 22787-2022 tillsynsbegäran.docx", "A 22787-2022")</f>
        <v/>
      </c>
      <c r="Y33">
        <f>HYPERLINK("https://klasma.github.io/Logging_1882/tillsynsmail/A 22787-2022 tillsynsbegäran mail.docx", "A 22787-2022")</f>
        <v/>
      </c>
    </row>
    <row r="34" ht="15" customHeight="1">
      <c r="A34" t="inlineStr">
        <is>
          <t>A 52259-2021</t>
        </is>
      </c>
      <c r="B34" s="1" t="n">
        <v>44463</v>
      </c>
      <c r="C34" s="1" t="n">
        <v>46197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HYPERLINK("https://klasma.github.io/Logging_1882/artfynd/A 52259-2021 artfynd.xlsx", "A 52259-2021")</f>
        <v/>
      </c>
      <c r="T34">
        <f>HYPERLINK("https://klasma.github.io/Logging_1882/kartor/A 52259-2021 karta.png", "A 52259-2021")</f>
        <v/>
      </c>
      <c r="V34">
        <f>HYPERLINK("https://klasma.github.io/Logging_1882/klagomål/A 52259-2021 FSC-klagomål.docx", "A 52259-2021")</f>
        <v/>
      </c>
      <c r="W34">
        <f>HYPERLINK("https://klasma.github.io/Logging_1882/klagomålsmail/A 52259-2021 FSC-klagomål mail.docx", "A 52259-2021")</f>
        <v/>
      </c>
      <c r="X34">
        <f>HYPERLINK("https://klasma.github.io/Logging_1882/tillsyn/A 52259-2021 tillsynsbegäran.docx", "A 52259-2021")</f>
        <v/>
      </c>
      <c r="Y34">
        <f>HYPERLINK("https://klasma.github.io/Logging_1882/tillsynsmail/A 52259-2021 tillsynsbegäran mail.docx", "A 52259-2021")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46197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Fläcknycklar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25006-2026</t>
        </is>
      </c>
      <c r="B36" s="1" t="n">
        <v>46174</v>
      </c>
      <c r="C36" s="1" t="n">
        <v>46197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Fjällig taggsvamp s.str.
Revlummer</t>
        </is>
      </c>
      <c r="S36">
        <f>HYPERLINK("https://klasma.github.io/Logging_1882/artfynd/A 25006-2026 artfynd.xlsx", "A 25006-2026")</f>
        <v/>
      </c>
      <c r="T36">
        <f>HYPERLINK("https://klasma.github.io/Logging_1882/kartor/A 25006-2026 karta.png", "A 25006-2026")</f>
        <v/>
      </c>
      <c r="V36">
        <f>HYPERLINK("https://klasma.github.io/Logging_1882/klagomål/A 25006-2026 FSC-klagomål.docx", "A 25006-2026")</f>
        <v/>
      </c>
      <c r="W36">
        <f>HYPERLINK("https://klasma.github.io/Logging_1882/klagomålsmail/A 25006-2026 FSC-klagomål mail.docx", "A 25006-2026")</f>
        <v/>
      </c>
      <c r="X36">
        <f>HYPERLINK("https://klasma.github.io/Logging_1882/tillsyn/A 25006-2026 tillsynsbegäran.docx", "A 25006-2026")</f>
        <v/>
      </c>
      <c r="Y36">
        <f>HYPERLINK("https://klasma.github.io/Logging_1882/tillsynsmail/A 25006-2026 tillsynsbegäran mail.docx", "A 25006-2026")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46197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27023-2026</t>
        </is>
      </c>
      <c r="B38" s="1" t="n">
        <v>46185</v>
      </c>
      <c r="C38" s="1" t="n">
        <v>46197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HYPERLINK("https://klasma.github.io/Logging_1882/artfynd/A 27023-2026 artfynd.xlsx", "A 27023-2026")</f>
        <v/>
      </c>
      <c r="T38">
        <f>HYPERLINK("https://klasma.github.io/Logging_1882/kartor/A 27023-2026 karta.png", "A 27023-2026")</f>
        <v/>
      </c>
      <c r="V38">
        <f>HYPERLINK("https://klasma.github.io/Logging_1882/klagomål/A 27023-2026 FSC-klagomål.docx", "A 27023-2026")</f>
        <v/>
      </c>
      <c r="W38">
        <f>HYPERLINK("https://klasma.github.io/Logging_1882/klagomålsmail/A 27023-2026 FSC-klagomål mail.docx", "A 27023-2026")</f>
        <v/>
      </c>
      <c r="X38">
        <f>HYPERLINK("https://klasma.github.io/Logging_1882/tillsyn/A 27023-2026 tillsynsbegäran.docx", "A 27023-2026")</f>
        <v/>
      </c>
      <c r="Y38">
        <f>HYPERLINK("https://klasma.github.io/Logging_1882/tillsynsmail/A 27023-2026 tillsynsbegäran mail.docx", "A 27023-2026")</f>
        <v/>
      </c>
    </row>
    <row r="39" ht="15" customHeight="1">
      <c r="A39" t="inlineStr">
        <is>
          <t>A 42839-2021</t>
        </is>
      </c>
      <c r="B39" s="1" t="n">
        <v>44430</v>
      </c>
      <c r="C39" s="1" t="n">
        <v>46197</v>
      </c>
      <c r="D39" t="inlineStr">
        <is>
          <t>ÖREBRO LÄN</t>
        </is>
      </c>
      <c r="E39" t="inlineStr">
        <is>
          <t>ASKERSUND</t>
        </is>
      </c>
      <c r="G39" t="n">
        <v>10.7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42839-2021 artfynd.xlsx", "A 42839-2021")</f>
        <v/>
      </c>
      <c r="T39">
        <f>HYPERLINK("https://klasma.github.io/Logging_1882/kartor/A 42839-2021 karta.png", "A 42839-2021")</f>
        <v/>
      </c>
      <c r="V39">
        <f>HYPERLINK("https://klasma.github.io/Logging_1882/klagomål/A 42839-2021 FSC-klagomål.docx", "A 42839-2021")</f>
        <v/>
      </c>
      <c r="W39">
        <f>HYPERLINK("https://klasma.github.io/Logging_1882/klagomålsmail/A 42839-2021 FSC-klagomål mail.docx", "A 42839-2021")</f>
        <v/>
      </c>
      <c r="X39">
        <f>HYPERLINK("https://klasma.github.io/Logging_1882/tillsyn/A 42839-2021 tillsynsbegäran.docx", "A 42839-2021")</f>
        <v/>
      </c>
      <c r="Y39">
        <f>HYPERLINK("https://klasma.github.io/Logging_1882/tillsynsmail/A 42839-2021 tillsynsbegäran mail.docx", "A 42839-2021")</f>
        <v/>
      </c>
    </row>
    <row r="40" ht="15" customHeight="1">
      <c r="A40" t="inlineStr">
        <is>
          <t>A 39575-2021</t>
        </is>
      </c>
      <c r="B40" s="1" t="n">
        <v>44416</v>
      </c>
      <c r="C40" s="1" t="n">
        <v>46197</v>
      </c>
      <c r="D40" t="inlineStr">
        <is>
          <t>ÖREBRO LÄN</t>
        </is>
      </c>
      <c r="E40" t="inlineStr">
        <is>
          <t>ASKERSUND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HYPERLINK("https://klasma.github.io/Logging_1882/artfynd/A 39575-2021 artfynd.xlsx", "A 39575-2021")</f>
        <v/>
      </c>
      <c r="T40">
        <f>HYPERLINK("https://klasma.github.io/Logging_1882/kartor/A 39575-2021 karta.png", "A 39575-2021")</f>
        <v/>
      </c>
      <c r="V40">
        <f>HYPERLINK("https://klasma.github.io/Logging_1882/klagomål/A 39575-2021 FSC-klagomål.docx", "A 39575-2021")</f>
        <v/>
      </c>
      <c r="W40">
        <f>HYPERLINK("https://klasma.github.io/Logging_1882/klagomålsmail/A 39575-2021 FSC-klagomål mail.docx", "A 39575-2021")</f>
        <v/>
      </c>
      <c r="X40">
        <f>HYPERLINK("https://klasma.github.io/Logging_1882/tillsyn/A 39575-2021 tillsynsbegäran.docx", "A 39575-2021")</f>
        <v/>
      </c>
      <c r="Y40">
        <f>HYPERLINK("https://klasma.github.io/Logging_1882/tillsynsmail/A 39575-2021 tillsynsbegäran mail.docx", "A 39575-2021")</f>
        <v/>
      </c>
    </row>
    <row r="41" ht="15" customHeight="1">
      <c r="A41" t="inlineStr">
        <is>
          <t>A 48684-2021</t>
        </is>
      </c>
      <c r="B41" s="1" t="n">
        <v>44452</v>
      </c>
      <c r="C41" s="1" t="n">
        <v>46197</v>
      </c>
      <c r="D41" t="inlineStr">
        <is>
          <t>ÖREBRO LÄN</t>
        </is>
      </c>
      <c r="E41" t="inlineStr">
        <is>
          <t>ASKERSUND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HYPERLINK("https://klasma.github.io/Logging_1882/artfynd/A 48684-2021 artfynd.xlsx", "A 48684-2021")</f>
        <v/>
      </c>
      <c r="T41">
        <f>HYPERLINK("https://klasma.github.io/Logging_1882/kartor/A 48684-2021 karta.png", "A 48684-2021")</f>
        <v/>
      </c>
      <c r="V41">
        <f>HYPERLINK("https://klasma.github.io/Logging_1882/klagomål/A 48684-2021 FSC-klagomål.docx", "A 48684-2021")</f>
        <v/>
      </c>
      <c r="W41">
        <f>HYPERLINK("https://klasma.github.io/Logging_1882/klagomålsmail/A 48684-2021 FSC-klagomål mail.docx", "A 48684-2021")</f>
        <v/>
      </c>
      <c r="X41">
        <f>HYPERLINK("https://klasma.github.io/Logging_1882/tillsyn/A 48684-2021 tillsynsbegäran.docx", "A 48684-2021")</f>
        <v/>
      </c>
      <c r="Y41">
        <f>HYPERLINK("https://klasma.github.io/Logging_1882/tillsynsmail/A 48684-2021 tillsynsbegäran mail.docx", "A 48684-2021")</f>
        <v/>
      </c>
    </row>
    <row r="42" ht="15" customHeight="1">
      <c r="A42" t="inlineStr">
        <is>
          <t>A 47371-2022</t>
        </is>
      </c>
      <c r="B42" s="1" t="n">
        <v>44853</v>
      </c>
      <c r="C42" s="1" t="n">
        <v>46197</v>
      </c>
      <c r="D42" t="inlineStr">
        <is>
          <t>ÖREBRO LÄN</t>
        </is>
      </c>
      <c r="E42" t="inlineStr">
        <is>
          <t>ASKERSUND</t>
        </is>
      </c>
      <c r="G42" t="n">
        <v>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47371-2022 artfynd.xlsx", "A 47371-2022")</f>
        <v/>
      </c>
      <c r="T42">
        <f>HYPERLINK("https://klasma.github.io/Logging_1882/kartor/A 47371-2022 karta.png", "A 47371-2022")</f>
        <v/>
      </c>
      <c r="V42">
        <f>HYPERLINK("https://klasma.github.io/Logging_1882/klagomål/A 47371-2022 FSC-klagomål.docx", "A 47371-2022")</f>
        <v/>
      </c>
      <c r="W42">
        <f>HYPERLINK("https://klasma.github.io/Logging_1882/klagomålsmail/A 47371-2022 FSC-klagomål mail.docx", "A 47371-2022")</f>
        <v/>
      </c>
      <c r="X42">
        <f>HYPERLINK("https://klasma.github.io/Logging_1882/tillsyn/A 47371-2022 tillsynsbegäran.docx", "A 47371-2022")</f>
        <v/>
      </c>
      <c r="Y42">
        <f>HYPERLINK("https://klasma.github.io/Logging_1882/tillsynsmail/A 47371-2022 tillsynsbegäran mail.docx", "A 47371-2022")</f>
        <v/>
      </c>
    </row>
    <row r="43" ht="15" customHeight="1">
      <c r="A43" t="inlineStr">
        <is>
          <t>A 66339-2021</t>
        </is>
      </c>
      <c r="B43" s="1" t="n">
        <v>44518</v>
      </c>
      <c r="C43" s="1" t="n">
        <v>46197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Gransotdyna</t>
        </is>
      </c>
      <c r="S43">
        <f>HYPERLINK("https://klasma.github.io/Logging_1882/artfynd/A 66339-2021 artfynd.xlsx", "A 66339-2021")</f>
        <v/>
      </c>
      <c r="T43">
        <f>HYPERLINK("https://klasma.github.io/Logging_1882/kartor/A 66339-2021 karta.png", "A 66339-2021")</f>
        <v/>
      </c>
      <c r="V43">
        <f>HYPERLINK("https://klasma.github.io/Logging_1882/klagomål/A 66339-2021 FSC-klagomål.docx", "A 66339-2021")</f>
        <v/>
      </c>
      <c r="W43">
        <f>HYPERLINK("https://klasma.github.io/Logging_1882/klagomålsmail/A 66339-2021 FSC-klagomål mail.docx", "A 66339-2021")</f>
        <v/>
      </c>
      <c r="X43">
        <f>HYPERLINK("https://klasma.github.io/Logging_1882/tillsyn/A 66339-2021 tillsynsbegäran.docx", "A 66339-2021")</f>
        <v/>
      </c>
      <c r="Y43">
        <f>HYPERLINK("https://klasma.github.io/Logging_1882/tillsynsmail/A 66339-2021 tillsynsbegäran mail.docx", "A 66339-2021")</f>
        <v/>
      </c>
    </row>
    <row r="44" ht="15" customHeight="1">
      <c r="A44" t="inlineStr">
        <is>
          <t>A 5504-2022</t>
        </is>
      </c>
      <c r="B44" s="1" t="n">
        <v>44595</v>
      </c>
      <c r="C44" s="1" t="n">
        <v>46197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HYPERLINK("https://klasma.github.io/Logging_1882/artfynd/A 5504-2022 artfynd.xlsx", "A 5504-2022")</f>
        <v/>
      </c>
      <c r="T44">
        <f>HYPERLINK("https://klasma.github.io/Logging_1882/kartor/A 5504-2022 karta.png", "A 5504-2022")</f>
        <v/>
      </c>
      <c r="V44">
        <f>HYPERLINK("https://klasma.github.io/Logging_1882/klagomål/A 5504-2022 FSC-klagomål.docx", "A 5504-2022")</f>
        <v/>
      </c>
      <c r="W44">
        <f>HYPERLINK("https://klasma.github.io/Logging_1882/klagomålsmail/A 5504-2022 FSC-klagomål mail.docx", "A 5504-2022")</f>
        <v/>
      </c>
      <c r="X44">
        <f>HYPERLINK("https://klasma.github.io/Logging_1882/tillsyn/A 5504-2022 tillsynsbegäran.docx", "A 5504-2022")</f>
        <v/>
      </c>
      <c r="Y44">
        <f>HYPERLINK("https://klasma.github.io/Logging_1882/tillsynsmail/A 5504-2022 tillsynsbegäran mail.docx", "A 5504-2022")</f>
        <v/>
      </c>
    </row>
    <row r="45" ht="15" customHeight="1">
      <c r="A45" t="inlineStr">
        <is>
          <t>A 63535-2021</t>
        </is>
      </c>
      <c r="B45" s="1" t="n">
        <v>44508</v>
      </c>
      <c r="C45" s="1" t="n">
        <v>46197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63535-2021 artfynd.xlsx", "A 63535-2021")</f>
        <v/>
      </c>
      <c r="T45">
        <f>HYPERLINK("https://klasma.github.io/Logging_1882/kartor/A 63535-2021 karta.png", "A 63535-2021")</f>
        <v/>
      </c>
      <c r="V45">
        <f>HYPERLINK("https://klasma.github.io/Logging_1882/klagomål/A 63535-2021 FSC-klagomål.docx", "A 63535-2021")</f>
        <v/>
      </c>
      <c r="W45">
        <f>HYPERLINK("https://klasma.github.io/Logging_1882/klagomålsmail/A 63535-2021 FSC-klagomål mail.docx", "A 63535-2021")</f>
        <v/>
      </c>
      <c r="X45">
        <f>HYPERLINK("https://klasma.github.io/Logging_1882/tillsyn/A 63535-2021 tillsynsbegäran.docx", "A 63535-2021")</f>
        <v/>
      </c>
      <c r="Y45">
        <f>HYPERLINK("https://klasma.github.io/Logging_1882/tillsynsmail/A 63535-2021 tillsynsbegäran mail.docx", "A 63535-2021")</f>
        <v/>
      </c>
    </row>
    <row r="46" ht="15" customHeight="1">
      <c r="A46" t="inlineStr">
        <is>
          <t>A 29127-2024</t>
        </is>
      </c>
      <c r="B46" s="1" t="n">
        <v>45481</v>
      </c>
      <c r="C46" s="1" t="n">
        <v>46197</v>
      </c>
      <c r="D46" t="inlineStr">
        <is>
          <t>ÖREBRO LÄN</t>
        </is>
      </c>
      <c r="E46" t="inlineStr">
        <is>
          <t>ASKERSUND</t>
        </is>
      </c>
      <c r="G46" t="n">
        <v>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HYPERLINK("https://klasma.github.io/Logging_1882/artfynd/A 29127-2024 artfynd.xlsx", "A 29127-2024")</f>
        <v/>
      </c>
      <c r="T46">
        <f>HYPERLINK("https://klasma.github.io/Logging_1882/kartor/A 29127-2024 karta.png", "A 29127-2024")</f>
        <v/>
      </c>
      <c r="V46">
        <f>HYPERLINK("https://klasma.github.io/Logging_1882/klagomål/A 29127-2024 FSC-klagomål.docx", "A 29127-2024")</f>
        <v/>
      </c>
      <c r="W46">
        <f>HYPERLINK("https://klasma.github.io/Logging_1882/klagomålsmail/A 29127-2024 FSC-klagomål mail.docx", "A 29127-2024")</f>
        <v/>
      </c>
      <c r="X46">
        <f>HYPERLINK("https://klasma.github.io/Logging_1882/tillsyn/A 29127-2024 tillsynsbegäran.docx", "A 29127-2024")</f>
        <v/>
      </c>
      <c r="Y46">
        <f>HYPERLINK("https://klasma.github.io/Logging_1882/tillsynsmail/A 29127-2024 tillsynsbegäran mail.docx", "A 29127-2024")</f>
        <v/>
      </c>
    </row>
    <row r="47" ht="15" customHeight="1">
      <c r="A47" t="inlineStr">
        <is>
          <t>A 53019-2021</t>
        </is>
      </c>
      <c r="B47" s="1" t="n">
        <v>44467</v>
      </c>
      <c r="C47" s="1" t="n">
        <v>46197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53019-2021 artfynd.xlsx", "A 53019-2021")</f>
        <v/>
      </c>
      <c r="T47">
        <f>HYPERLINK("https://klasma.github.io/Logging_1882/kartor/A 53019-2021 karta.png", "A 53019-2021")</f>
        <v/>
      </c>
      <c r="V47">
        <f>HYPERLINK("https://klasma.github.io/Logging_1882/klagomål/A 53019-2021 FSC-klagomål.docx", "A 53019-2021")</f>
        <v/>
      </c>
      <c r="W47">
        <f>HYPERLINK("https://klasma.github.io/Logging_1882/klagomålsmail/A 53019-2021 FSC-klagomål mail.docx", "A 53019-2021")</f>
        <v/>
      </c>
      <c r="X47">
        <f>HYPERLINK("https://klasma.github.io/Logging_1882/tillsyn/A 53019-2021 tillsynsbegäran.docx", "A 53019-2021")</f>
        <v/>
      </c>
      <c r="Y47">
        <f>HYPERLINK("https://klasma.github.io/Logging_1882/tillsynsmail/A 53019-2021 tillsynsbegäran mail.docx", "A 53019-2021")</f>
        <v/>
      </c>
    </row>
    <row r="48" ht="15" customHeight="1">
      <c r="A48" t="inlineStr">
        <is>
          <t>A 44891-2024</t>
        </is>
      </c>
      <c r="B48" s="1" t="n">
        <v>45575</v>
      </c>
      <c r="C48" s="1" t="n">
        <v>46197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44891-2024 artfynd.xlsx", "A 44891-2024")</f>
        <v/>
      </c>
      <c r="T48">
        <f>HYPERLINK("https://klasma.github.io/Logging_1882/kartor/A 44891-2024 karta.png", "A 44891-2024")</f>
        <v/>
      </c>
      <c r="V48">
        <f>HYPERLINK("https://klasma.github.io/Logging_1882/klagomål/A 44891-2024 FSC-klagomål.docx", "A 44891-2024")</f>
        <v/>
      </c>
      <c r="W48">
        <f>HYPERLINK("https://klasma.github.io/Logging_1882/klagomålsmail/A 44891-2024 FSC-klagomål mail.docx", "A 44891-2024")</f>
        <v/>
      </c>
      <c r="X48">
        <f>HYPERLINK("https://klasma.github.io/Logging_1882/tillsyn/A 44891-2024 tillsynsbegäran.docx", "A 44891-2024")</f>
        <v/>
      </c>
      <c r="Y48">
        <f>HYPERLINK("https://klasma.github.io/Logging_1882/tillsynsmail/A 44891-2024 tillsynsbegäran mail.docx", "A 44891-2024")</f>
        <v/>
      </c>
    </row>
    <row r="49" ht="15" customHeight="1">
      <c r="A49" t="inlineStr">
        <is>
          <t>A 52518-2022</t>
        </is>
      </c>
      <c r="B49" s="1" t="n">
        <v>44874</v>
      </c>
      <c r="C49" s="1" t="n">
        <v>46197</v>
      </c>
      <c r="D49" t="inlineStr">
        <is>
          <t>ÖREBRO LÄN</t>
        </is>
      </c>
      <c r="E49" t="inlineStr">
        <is>
          <t>ASKERSUND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HYPERLINK("https://klasma.github.io/Logging_1882/artfynd/A 52518-2022 artfynd.xlsx", "A 52518-2022")</f>
        <v/>
      </c>
      <c r="T49">
        <f>HYPERLINK("https://klasma.github.io/Logging_1882/kartor/A 52518-2022 karta.png", "A 52518-2022")</f>
        <v/>
      </c>
      <c r="V49">
        <f>HYPERLINK("https://klasma.github.io/Logging_1882/klagomål/A 52518-2022 FSC-klagomål.docx", "A 52518-2022")</f>
        <v/>
      </c>
      <c r="W49">
        <f>HYPERLINK("https://klasma.github.io/Logging_1882/klagomålsmail/A 52518-2022 FSC-klagomål mail.docx", "A 52518-2022")</f>
        <v/>
      </c>
      <c r="X49">
        <f>HYPERLINK("https://klasma.github.io/Logging_1882/tillsyn/A 52518-2022 tillsynsbegäran.docx", "A 52518-2022")</f>
        <v/>
      </c>
      <c r="Y49">
        <f>HYPERLINK("https://klasma.github.io/Logging_1882/tillsynsmail/A 52518-2022 tillsynsbegäran mail.docx", "A 52518-2022")</f>
        <v/>
      </c>
    </row>
    <row r="50" ht="15" customHeight="1">
      <c r="A50" t="inlineStr">
        <is>
          <t>A 48884-2022</t>
        </is>
      </c>
      <c r="B50" s="1" t="n">
        <v>44859</v>
      </c>
      <c r="C50" s="1" t="n">
        <v>46197</v>
      </c>
      <c r="D50" t="inlineStr">
        <is>
          <t>ÖREBRO LÄN</t>
        </is>
      </c>
      <c r="E50" t="inlineStr">
        <is>
          <t>ASKERSUND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Jungfrulin</t>
        </is>
      </c>
      <c r="S50">
        <f>HYPERLINK("https://klasma.github.io/Logging_1882/artfynd/A 48884-2022 artfynd.xlsx", "A 48884-2022")</f>
        <v/>
      </c>
      <c r="T50">
        <f>HYPERLINK("https://klasma.github.io/Logging_1882/kartor/A 48884-2022 karta.png", "A 48884-2022")</f>
        <v/>
      </c>
      <c r="V50">
        <f>HYPERLINK("https://klasma.github.io/Logging_1882/klagomål/A 48884-2022 FSC-klagomål.docx", "A 48884-2022")</f>
        <v/>
      </c>
      <c r="W50">
        <f>HYPERLINK("https://klasma.github.io/Logging_1882/klagomålsmail/A 48884-2022 FSC-klagomål mail.docx", "A 48884-2022")</f>
        <v/>
      </c>
      <c r="X50">
        <f>HYPERLINK("https://klasma.github.io/Logging_1882/tillsyn/A 48884-2022 tillsynsbegäran.docx", "A 48884-2022")</f>
        <v/>
      </c>
      <c r="Y50">
        <f>HYPERLINK("https://klasma.github.io/Logging_1882/tillsynsmail/A 48884-2022 tillsynsbegäran mail.docx", "A 48884-2022")</f>
        <v/>
      </c>
    </row>
    <row r="51" ht="15" customHeight="1">
      <c r="A51" t="inlineStr">
        <is>
          <t>A 1121-2026</t>
        </is>
      </c>
      <c r="B51" s="1" t="n">
        <v>46030</v>
      </c>
      <c r="C51" s="1" t="n">
        <v>46197</v>
      </c>
      <c r="D51" t="inlineStr">
        <is>
          <t>ÖREBRO LÄN</t>
        </is>
      </c>
      <c r="E51" t="inlineStr">
        <is>
          <t>ASKERSUND</t>
        </is>
      </c>
      <c r="G51" t="n">
        <v>8.4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1121-2026 artfynd.xlsx", "A 1121-2026")</f>
        <v/>
      </c>
      <c r="T51">
        <f>HYPERLINK("https://klasma.github.io/Logging_1882/kartor/A 1121-2026 karta.png", "A 1121-2026")</f>
        <v/>
      </c>
      <c r="V51">
        <f>HYPERLINK("https://klasma.github.io/Logging_1882/klagomål/A 1121-2026 FSC-klagomål.docx", "A 1121-2026")</f>
        <v/>
      </c>
      <c r="W51">
        <f>HYPERLINK("https://klasma.github.io/Logging_1882/klagomålsmail/A 1121-2026 FSC-klagomål mail.docx", "A 1121-2026")</f>
        <v/>
      </c>
      <c r="X51">
        <f>HYPERLINK("https://klasma.github.io/Logging_1882/tillsyn/A 1121-2026 tillsynsbegäran.docx", "A 1121-2026")</f>
        <v/>
      </c>
      <c r="Y51">
        <f>HYPERLINK("https://klasma.github.io/Logging_1882/tillsynsmail/A 1121-2026 tillsynsbegäran mail.docx", "A 1121-2026")</f>
        <v/>
      </c>
    </row>
    <row r="52" ht="15" customHeight="1">
      <c r="A52" t="inlineStr">
        <is>
          <t>A 13425-2022</t>
        </is>
      </c>
      <c r="B52" s="1" t="n">
        <v>44645</v>
      </c>
      <c r="C52" s="1" t="n">
        <v>46197</v>
      </c>
      <c r="D52" t="inlineStr">
        <is>
          <t>ÖREBRO LÄN</t>
        </is>
      </c>
      <c r="E52" t="inlineStr">
        <is>
          <t>ASKERSUND</t>
        </is>
      </c>
      <c r="G52" t="n">
        <v>16.8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Tofsvipa</t>
        </is>
      </c>
      <c r="S52">
        <f>HYPERLINK("https://klasma.github.io/Logging_1882/artfynd/A 13425-2022 artfynd.xlsx", "A 13425-2022")</f>
        <v/>
      </c>
      <c r="T52">
        <f>HYPERLINK("https://klasma.github.io/Logging_1882/kartor/A 13425-2022 karta.png", "A 13425-2022")</f>
        <v/>
      </c>
      <c r="V52">
        <f>HYPERLINK("https://klasma.github.io/Logging_1882/klagomål/A 13425-2022 FSC-klagomål.docx", "A 13425-2022")</f>
        <v/>
      </c>
      <c r="W52">
        <f>HYPERLINK("https://klasma.github.io/Logging_1882/klagomålsmail/A 13425-2022 FSC-klagomål mail.docx", "A 13425-2022")</f>
        <v/>
      </c>
      <c r="X52">
        <f>HYPERLINK("https://klasma.github.io/Logging_1882/tillsyn/A 13425-2022 tillsynsbegäran.docx", "A 13425-2022")</f>
        <v/>
      </c>
      <c r="Y52">
        <f>HYPERLINK("https://klasma.github.io/Logging_1882/tillsynsmail/A 13425-2022 tillsynsbegäran mail.docx", "A 13425-2022")</f>
        <v/>
      </c>
    </row>
    <row r="53" ht="15" customHeight="1">
      <c r="A53" t="inlineStr">
        <is>
          <t>A 5230-2023</t>
        </is>
      </c>
      <c r="B53" s="1" t="n">
        <v>44959</v>
      </c>
      <c r="C53" s="1" t="n">
        <v>46197</v>
      </c>
      <c r="D53" t="inlineStr">
        <is>
          <t>ÖREBRO LÄN</t>
        </is>
      </c>
      <c r="E53" t="inlineStr">
        <is>
          <t>ASKERSUND</t>
        </is>
      </c>
      <c r="G53" t="n">
        <v>5.7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Igelkott</t>
        </is>
      </c>
      <c r="S53">
        <f>HYPERLINK("https://klasma.github.io/Logging_1882/artfynd/A 5230-2023 artfynd.xlsx", "A 5230-2023")</f>
        <v/>
      </c>
      <c r="T53">
        <f>HYPERLINK("https://klasma.github.io/Logging_1882/kartor/A 5230-2023 karta.png", "A 5230-2023")</f>
        <v/>
      </c>
      <c r="V53">
        <f>HYPERLINK("https://klasma.github.io/Logging_1882/klagomål/A 5230-2023 FSC-klagomål.docx", "A 5230-2023")</f>
        <v/>
      </c>
      <c r="W53">
        <f>HYPERLINK("https://klasma.github.io/Logging_1882/klagomålsmail/A 5230-2023 FSC-klagomål mail.docx", "A 5230-2023")</f>
        <v/>
      </c>
      <c r="X53">
        <f>HYPERLINK("https://klasma.github.io/Logging_1882/tillsyn/A 5230-2023 tillsynsbegäran.docx", "A 5230-2023")</f>
        <v/>
      </c>
      <c r="Y53">
        <f>HYPERLINK("https://klasma.github.io/Logging_1882/tillsynsmail/A 5230-2023 tillsynsbegäran mail.docx", "A 5230-2023")</f>
        <v/>
      </c>
    </row>
    <row r="54" ht="15" customHeight="1">
      <c r="A54" t="inlineStr">
        <is>
          <t>A 59920-2023</t>
        </is>
      </c>
      <c r="B54" s="1" t="n">
        <v>45257</v>
      </c>
      <c r="C54" s="1" t="n">
        <v>46197</v>
      </c>
      <c r="D54" t="inlineStr">
        <is>
          <t>ÖREBRO LÄN</t>
        </is>
      </c>
      <c r="E54" t="inlineStr">
        <is>
          <t>ASKERSUND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Öring</t>
        </is>
      </c>
      <c r="S54">
        <f>HYPERLINK("https://klasma.github.io/Logging_1882/artfynd/A 59920-2023 artfynd.xlsx", "A 59920-2023")</f>
        <v/>
      </c>
      <c r="T54">
        <f>HYPERLINK("https://klasma.github.io/Logging_1882/kartor/A 59920-2023 karta.png", "A 59920-2023")</f>
        <v/>
      </c>
      <c r="V54">
        <f>HYPERLINK("https://klasma.github.io/Logging_1882/klagomål/A 59920-2023 FSC-klagomål.docx", "A 59920-2023")</f>
        <v/>
      </c>
      <c r="W54">
        <f>HYPERLINK("https://klasma.github.io/Logging_1882/klagomålsmail/A 59920-2023 FSC-klagomål mail.docx", "A 59920-2023")</f>
        <v/>
      </c>
      <c r="X54">
        <f>HYPERLINK("https://klasma.github.io/Logging_1882/tillsyn/A 59920-2023 tillsynsbegäran.docx", "A 59920-2023")</f>
        <v/>
      </c>
      <c r="Y54">
        <f>HYPERLINK("https://klasma.github.io/Logging_1882/tillsynsmail/A 59920-2023 tillsynsbegäran mail.docx", "A 59920-2023")</f>
        <v/>
      </c>
    </row>
    <row r="55" ht="15" customHeight="1">
      <c r="A55" t="inlineStr">
        <is>
          <t>A 16953-2022</t>
        </is>
      </c>
      <c r="B55" s="1" t="n">
        <v>44676</v>
      </c>
      <c r="C55" s="1" t="n">
        <v>46197</v>
      </c>
      <c r="D55" t="inlineStr">
        <is>
          <t>ÖREBRO LÄN</t>
        </is>
      </c>
      <c r="E55" t="inlineStr">
        <is>
          <t>ASKERSUND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HYPERLINK("https://klasma.github.io/Logging_1882/artfynd/A 16953-2022 artfynd.xlsx", "A 16953-2022")</f>
        <v/>
      </c>
      <c r="T55">
        <f>HYPERLINK("https://klasma.github.io/Logging_1882/kartor/A 16953-2022 karta.png", "A 16953-2022")</f>
        <v/>
      </c>
      <c r="V55">
        <f>HYPERLINK("https://klasma.github.io/Logging_1882/klagomål/A 16953-2022 FSC-klagomål.docx", "A 16953-2022")</f>
        <v/>
      </c>
      <c r="W55">
        <f>HYPERLINK("https://klasma.github.io/Logging_1882/klagomålsmail/A 16953-2022 FSC-klagomål mail.docx", "A 16953-2022")</f>
        <v/>
      </c>
      <c r="X55">
        <f>HYPERLINK("https://klasma.github.io/Logging_1882/tillsyn/A 16953-2022 tillsynsbegäran.docx", "A 16953-2022")</f>
        <v/>
      </c>
      <c r="Y55">
        <f>HYPERLINK("https://klasma.github.io/Logging_1882/tillsynsmail/A 16953-2022 tillsynsbegäran mail.docx", "A 16953-2022")</f>
        <v/>
      </c>
      <c r="Z55">
        <f>HYPERLINK("https://klasma.github.io/Logging_1882/fåglar/A 16953-2022 prioriterade fågelarter.docx", "A 16953-2022")</f>
        <v/>
      </c>
    </row>
    <row r="56" ht="15" customHeight="1">
      <c r="A56" t="inlineStr">
        <is>
          <t>A 22511-2024</t>
        </is>
      </c>
      <c r="B56" s="1" t="n">
        <v>45447</v>
      </c>
      <c r="C56" s="1" t="n">
        <v>46197</v>
      </c>
      <c r="D56" t="inlineStr">
        <is>
          <t>ÖREBRO LÄN</t>
        </is>
      </c>
      <c r="E56" t="inlineStr">
        <is>
          <t>ASKERSUND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HYPERLINK("https://klasma.github.io/Logging_1882/artfynd/A 22511-2024 artfynd.xlsx", "A 22511-2024")</f>
        <v/>
      </c>
      <c r="T56">
        <f>HYPERLINK("https://klasma.github.io/Logging_1882/kartor/A 22511-2024 karta.png", "A 22511-2024")</f>
        <v/>
      </c>
      <c r="V56">
        <f>HYPERLINK("https://klasma.github.io/Logging_1882/klagomål/A 22511-2024 FSC-klagomål.docx", "A 22511-2024")</f>
        <v/>
      </c>
      <c r="W56">
        <f>HYPERLINK("https://klasma.github.io/Logging_1882/klagomålsmail/A 22511-2024 FSC-klagomål mail.docx", "A 22511-2024")</f>
        <v/>
      </c>
      <c r="X56">
        <f>HYPERLINK("https://klasma.github.io/Logging_1882/tillsyn/A 22511-2024 tillsynsbegäran.docx", "A 22511-2024")</f>
        <v/>
      </c>
      <c r="Y56">
        <f>HYPERLINK("https://klasma.github.io/Logging_1882/tillsynsmail/A 22511-2024 tillsynsbegäran mail.docx", "A 22511-2024")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46197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46197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46197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11988-2026</t>
        </is>
      </c>
      <c r="B60" s="1" t="n">
        <v>46085</v>
      </c>
      <c r="C60" s="1" t="n">
        <v>46197</v>
      </c>
      <c r="D60" t="inlineStr">
        <is>
          <t>ÖREBRO LÄN</t>
        </is>
      </c>
      <c r="E60" t="inlineStr">
        <is>
          <t>ASKERSUND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HYPERLINK("https://klasma.github.io/Logging_1882/artfynd/A 11988-2026 artfynd.xlsx", "A 11988-2026")</f>
        <v/>
      </c>
      <c r="T60">
        <f>HYPERLINK("https://klasma.github.io/Logging_1882/kartor/A 11988-2026 karta.png", "A 11988-2026")</f>
        <v/>
      </c>
      <c r="V60">
        <f>HYPERLINK("https://klasma.github.io/Logging_1882/klagomål/A 11988-2026 FSC-klagomål.docx", "A 11988-2026")</f>
        <v/>
      </c>
      <c r="W60">
        <f>HYPERLINK("https://klasma.github.io/Logging_1882/klagomålsmail/A 11988-2026 FSC-klagomål mail.docx", "A 11988-2026")</f>
        <v/>
      </c>
      <c r="X60">
        <f>HYPERLINK("https://klasma.github.io/Logging_1882/tillsyn/A 11988-2026 tillsynsbegäran.docx", "A 11988-2026")</f>
        <v/>
      </c>
      <c r="Y60">
        <f>HYPERLINK("https://klasma.github.io/Logging_1882/tillsynsmail/A 11988-2026 tillsynsbegäran mail.docx", "A 11988-2026")</f>
        <v/>
      </c>
    </row>
    <row r="61" ht="15" customHeight="1">
      <c r="A61" t="inlineStr">
        <is>
          <t>A 59238-2025</t>
        </is>
      </c>
      <c r="B61" s="1" t="n">
        <v>45988</v>
      </c>
      <c r="C61" s="1" t="n">
        <v>46197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HYPERLINK("https://klasma.github.io/Logging_1882/artfynd/A 59238-2025 artfynd.xlsx", "A 59238-2025")</f>
        <v/>
      </c>
      <c r="T61">
        <f>HYPERLINK("https://klasma.github.io/Logging_1882/kartor/A 59238-2025 karta.png", "A 59238-2025")</f>
        <v/>
      </c>
      <c r="V61">
        <f>HYPERLINK("https://klasma.github.io/Logging_1882/klagomål/A 59238-2025 FSC-klagomål.docx", "A 59238-2025")</f>
        <v/>
      </c>
      <c r="W61">
        <f>HYPERLINK("https://klasma.github.io/Logging_1882/klagomålsmail/A 59238-2025 FSC-klagomål mail.docx", "A 59238-2025")</f>
        <v/>
      </c>
      <c r="X61">
        <f>HYPERLINK("https://klasma.github.io/Logging_1882/tillsyn/A 59238-2025 tillsynsbegäran.docx", "A 59238-2025")</f>
        <v/>
      </c>
      <c r="Y61">
        <f>HYPERLINK("https://klasma.github.io/Logging_1882/tillsynsmail/A 59238-2025 tillsynsbegäran mail.docx", "A 59238-2025")</f>
        <v/>
      </c>
    </row>
    <row r="62" ht="15" customHeight="1">
      <c r="A62" t="inlineStr">
        <is>
          <t>A 38601-2024</t>
        </is>
      </c>
      <c r="B62" s="1" t="n">
        <v>45546</v>
      </c>
      <c r="C62" s="1" t="n">
        <v>46197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HYPERLINK("https://klasma.github.io/Logging_1882/artfynd/A 38601-2024 artfynd.xlsx", "A 38601-2024")</f>
        <v/>
      </c>
      <c r="T62">
        <f>HYPERLINK("https://klasma.github.io/Logging_1882/kartor/A 38601-2024 karta.png", "A 38601-2024")</f>
        <v/>
      </c>
      <c r="V62">
        <f>HYPERLINK("https://klasma.github.io/Logging_1882/klagomål/A 38601-2024 FSC-klagomål.docx", "A 38601-2024")</f>
        <v/>
      </c>
      <c r="W62">
        <f>HYPERLINK("https://klasma.github.io/Logging_1882/klagomålsmail/A 38601-2024 FSC-klagomål mail.docx", "A 38601-2024")</f>
        <v/>
      </c>
      <c r="X62">
        <f>HYPERLINK("https://klasma.github.io/Logging_1882/tillsyn/A 38601-2024 tillsynsbegäran.docx", "A 38601-2024")</f>
        <v/>
      </c>
      <c r="Y62">
        <f>HYPERLINK("https://klasma.github.io/Logging_1882/tillsynsmail/A 38601-2024 tillsynsbegäran mail.docx", "A 38601-2024")</f>
        <v/>
      </c>
    </row>
    <row r="63" ht="15" customHeight="1">
      <c r="A63" t="inlineStr">
        <is>
          <t>A 2561-2024</t>
        </is>
      </c>
      <c r="B63" s="1" t="n">
        <v>45313</v>
      </c>
      <c r="C63" s="1" t="n">
        <v>46197</v>
      </c>
      <c r="D63" t="inlineStr">
        <is>
          <t>ÖREBRO LÄN</t>
        </is>
      </c>
      <c r="E63" t="inlineStr">
        <is>
          <t>ASKERSUND</t>
        </is>
      </c>
      <c r="G63" t="n">
        <v>5.4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HYPERLINK("https://klasma.github.io/Logging_1882/artfynd/A 2561-2024 artfynd.xlsx", "A 2561-2024")</f>
        <v/>
      </c>
      <c r="T63">
        <f>HYPERLINK("https://klasma.github.io/Logging_1882/kartor/A 2561-2024 karta.png", "A 2561-2024")</f>
        <v/>
      </c>
      <c r="V63">
        <f>HYPERLINK("https://klasma.github.io/Logging_1882/klagomål/A 2561-2024 FSC-klagomål.docx", "A 2561-2024")</f>
        <v/>
      </c>
      <c r="W63">
        <f>HYPERLINK("https://klasma.github.io/Logging_1882/klagomålsmail/A 2561-2024 FSC-klagomål mail.docx", "A 2561-2024")</f>
        <v/>
      </c>
      <c r="X63">
        <f>HYPERLINK("https://klasma.github.io/Logging_1882/tillsyn/A 2561-2024 tillsynsbegäran.docx", "A 2561-2024")</f>
        <v/>
      </c>
      <c r="Y63">
        <f>HYPERLINK("https://klasma.github.io/Logging_1882/tillsynsmail/A 2561-2024 tillsynsbegäran mail.docx", "A 2561-2024")</f>
        <v/>
      </c>
    </row>
    <row r="64" ht="15" customHeight="1">
      <c r="A64" t="inlineStr">
        <is>
          <t>A 34514-2024</t>
        </is>
      </c>
      <c r="B64" s="1" t="n">
        <v>45525</v>
      </c>
      <c r="C64" s="1" t="n">
        <v>46197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Gröngöling</t>
        </is>
      </c>
      <c r="S64">
        <f>HYPERLINK("https://klasma.github.io/Logging_1882/artfynd/A 34514-2024 artfynd.xlsx", "A 34514-2024")</f>
        <v/>
      </c>
      <c r="T64">
        <f>HYPERLINK("https://klasma.github.io/Logging_1882/kartor/A 34514-2024 karta.png", "A 34514-2024")</f>
        <v/>
      </c>
      <c r="V64">
        <f>HYPERLINK("https://klasma.github.io/Logging_1882/klagomål/A 34514-2024 FSC-klagomål.docx", "A 34514-2024")</f>
        <v/>
      </c>
      <c r="W64">
        <f>HYPERLINK("https://klasma.github.io/Logging_1882/klagomålsmail/A 34514-2024 FSC-klagomål mail.docx", "A 34514-2024")</f>
        <v/>
      </c>
      <c r="X64">
        <f>HYPERLINK("https://klasma.github.io/Logging_1882/tillsyn/A 34514-2024 tillsynsbegäran.docx", "A 34514-2024")</f>
        <v/>
      </c>
      <c r="Y64">
        <f>HYPERLINK("https://klasma.github.io/Logging_1882/tillsynsmail/A 34514-2024 tillsynsbegäran mail.docx", "A 34514-2024")</f>
        <v/>
      </c>
    </row>
    <row r="65" ht="15" customHeight="1">
      <c r="A65" t="inlineStr">
        <is>
          <t>A 5044-2022</t>
        </is>
      </c>
      <c r="B65" s="1" t="n">
        <v>44593</v>
      </c>
      <c r="C65" s="1" t="n">
        <v>46197</v>
      </c>
      <c r="D65" t="inlineStr">
        <is>
          <t>ÖREBRO LÄN</t>
        </is>
      </c>
      <c r="E65" t="inlineStr">
        <is>
          <t>ASKERSUND</t>
        </is>
      </c>
      <c r="F65" t="inlineStr">
        <is>
          <t>Allmännings- och besparingsskogar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Jungfrulin</t>
        </is>
      </c>
      <c r="S65">
        <f>HYPERLINK("https://klasma.github.io/Logging_1882/artfynd/A 5044-2022 artfynd.xlsx", "A 5044-2022")</f>
        <v/>
      </c>
      <c r="T65">
        <f>HYPERLINK("https://klasma.github.io/Logging_1882/kartor/A 5044-2022 karta.png", "A 5044-2022")</f>
        <v/>
      </c>
      <c r="V65">
        <f>HYPERLINK("https://klasma.github.io/Logging_1882/klagomål/A 5044-2022 FSC-klagomål.docx", "A 5044-2022")</f>
        <v/>
      </c>
      <c r="W65">
        <f>HYPERLINK("https://klasma.github.io/Logging_1882/klagomålsmail/A 5044-2022 FSC-klagomål mail.docx", "A 5044-2022")</f>
        <v/>
      </c>
      <c r="X65">
        <f>HYPERLINK("https://klasma.github.io/Logging_1882/tillsyn/A 5044-2022 tillsynsbegäran.docx", "A 5044-2022")</f>
        <v/>
      </c>
      <c r="Y65">
        <f>HYPERLINK("https://klasma.github.io/Logging_1882/tillsynsmail/A 5044-2022 tillsynsbegäran mail.docx", "A 5044-2022")</f>
        <v/>
      </c>
    </row>
    <row r="66" ht="15" customHeight="1">
      <c r="A66" t="inlineStr">
        <is>
          <t>A 18246-2026</t>
        </is>
      </c>
      <c r="B66" s="1" t="n">
        <v>46126</v>
      </c>
      <c r="C66" s="1" t="n">
        <v>46197</v>
      </c>
      <c r="D66" t="inlineStr">
        <is>
          <t>ÖREBRO LÄN</t>
        </is>
      </c>
      <c r="E66" t="inlineStr">
        <is>
          <t>ASKERSUND</t>
        </is>
      </c>
      <c r="G66" t="n">
        <v>7.4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Mindre bastardsvärmare</t>
        </is>
      </c>
      <c r="S66">
        <f>HYPERLINK("https://klasma.github.io/Logging_1882/artfynd/A 18246-2026 artfynd.xlsx", "A 18246-2026")</f>
        <v/>
      </c>
      <c r="T66">
        <f>HYPERLINK("https://klasma.github.io/Logging_1882/kartor/A 18246-2026 karta.png", "A 18246-2026")</f>
        <v/>
      </c>
      <c r="V66">
        <f>HYPERLINK("https://klasma.github.io/Logging_1882/klagomål/A 18246-2026 FSC-klagomål.docx", "A 18246-2026")</f>
        <v/>
      </c>
      <c r="W66">
        <f>HYPERLINK("https://klasma.github.io/Logging_1882/klagomålsmail/A 18246-2026 FSC-klagomål mail.docx", "A 18246-2026")</f>
        <v/>
      </c>
      <c r="X66">
        <f>HYPERLINK("https://klasma.github.io/Logging_1882/tillsyn/A 18246-2026 tillsynsbegäran.docx", "A 18246-2026")</f>
        <v/>
      </c>
      <c r="Y66">
        <f>HYPERLINK("https://klasma.github.io/Logging_1882/tillsynsmail/A 18246-2026 tillsynsbegäran mail.docx", "A 18246-2026")</f>
        <v/>
      </c>
    </row>
    <row r="67" ht="15" customHeight="1">
      <c r="A67" t="inlineStr">
        <is>
          <t>A 18259-2026</t>
        </is>
      </c>
      <c r="B67" s="1" t="n">
        <v>46126</v>
      </c>
      <c r="C67" s="1" t="n">
        <v>46197</v>
      </c>
      <c r="D67" t="inlineStr">
        <is>
          <t>ÖREBRO LÄN</t>
        </is>
      </c>
      <c r="E67" t="inlineStr">
        <is>
          <t>ASKERSUND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Åkerväddsantennmal</t>
        </is>
      </c>
      <c r="S67">
        <f>HYPERLINK("https://klasma.github.io/Logging_1882/artfynd/A 18259-2026 artfynd.xlsx", "A 18259-2026")</f>
        <v/>
      </c>
      <c r="T67">
        <f>HYPERLINK("https://klasma.github.io/Logging_1882/kartor/A 18259-2026 karta.png", "A 18259-2026")</f>
        <v/>
      </c>
      <c r="V67">
        <f>HYPERLINK("https://klasma.github.io/Logging_1882/klagomål/A 18259-2026 FSC-klagomål.docx", "A 18259-2026")</f>
        <v/>
      </c>
      <c r="W67">
        <f>HYPERLINK("https://klasma.github.io/Logging_1882/klagomålsmail/A 18259-2026 FSC-klagomål mail.docx", "A 18259-2026")</f>
        <v/>
      </c>
      <c r="X67">
        <f>HYPERLINK("https://klasma.github.io/Logging_1882/tillsyn/A 18259-2026 tillsynsbegäran.docx", "A 18259-2026")</f>
        <v/>
      </c>
      <c r="Y67">
        <f>HYPERLINK("https://klasma.github.io/Logging_1882/tillsynsmail/A 18259-2026 tillsynsbegäran mail.docx", "A 18259-2026")</f>
        <v/>
      </c>
    </row>
    <row r="68" ht="15" customHeight="1">
      <c r="A68" t="inlineStr">
        <is>
          <t>A 44888-2024</t>
        </is>
      </c>
      <c r="B68" s="1" t="n">
        <v>45575</v>
      </c>
      <c r="C68" s="1" t="n">
        <v>46197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HYPERLINK("https://klasma.github.io/Logging_1882/artfynd/A 44888-2024 artfynd.xlsx", "A 44888-2024")</f>
        <v/>
      </c>
      <c r="T68">
        <f>HYPERLINK("https://klasma.github.io/Logging_1882/kartor/A 44888-2024 karta.png", "A 44888-2024")</f>
        <v/>
      </c>
      <c r="V68">
        <f>HYPERLINK("https://klasma.github.io/Logging_1882/klagomål/A 44888-2024 FSC-klagomål.docx", "A 44888-2024")</f>
        <v/>
      </c>
      <c r="W68">
        <f>HYPERLINK("https://klasma.github.io/Logging_1882/klagomålsmail/A 44888-2024 FSC-klagomål mail.docx", "A 44888-2024")</f>
        <v/>
      </c>
      <c r="X68">
        <f>HYPERLINK("https://klasma.github.io/Logging_1882/tillsyn/A 44888-2024 tillsynsbegäran.docx", "A 44888-2024")</f>
        <v/>
      </c>
      <c r="Y68">
        <f>HYPERLINK("https://klasma.github.io/Logging_1882/tillsynsmail/A 44888-2024 tillsynsbegäran mail.docx", "A 44888-2024")</f>
        <v/>
      </c>
    </row>
    <row r="69" ht="15" customHeight="1">
      <c r="A69" t="inlineStr">
        <is>
          <t>A 48879-2022</t>
        </is>
      </c>
      <c r="B69" s="1" t="n">
        <v>44859</v>
      </c>
      <c r="C69" s="1" t="n">
        <v>46197</v>
      </c>
      <c r="D69" t="inlineStr">
        <is>
          <t>ÖREBRO LÄN</t>
        </is>
      </c>
      <c r="E69" t="inlineStr">
        <is>
          <t>ASKERSUND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</t>
        </is>
      </c>
      <c r="S69">
        <f>HYPERLINK("https://klasma.github.io/Logging_1882/artfynd/A 48879-2022 artfynd.xlsx", "A 48879-2022")</f>
        <v/>
      </c>
      <c r="T69">
        <f>HYPERLINK("https://klasma.github.io/Logging_1882/kartor/A 48879-2022 karta.png", "A 48879-2022")</f>
        <v/>
      </c>
      <c r="V69">
        <f>HYPERLINK("https://klasma.github.io/Logging_1882/klagomål/A 48879-2022 FSC-klagomål.docx", "A 48879-2022")</f>
        <v/>
      </c>
      <c r="W69">
        <f>HYPERLINK("https://klasma.github.io/Logging_1882/klagomålsmail/A 48879-2022 FSC-klagomål mail.docx", "A 48879-2022")</f>
        <v/>
      </c>
      <c r="X69">
        <f>HYPERLINK("https://klasma.github.io/Logging_1882/tillsyn/A 48879-2022 tillsynsbegäran.docx", "A 48879-2022")</f>
        <v/>
      </c>
      <c r="Y69">
        <f>HYPERLINK("https://klasma.github.io/Logging_1882/tillsynsmail/A 48879-2022 tillsynsbegäran mail.docx", "A 48879-2022")</f>
        <v/>
      </c>
    </row>
    <row r="70" ht="15" customHeight="1">
      <c r="A70" t="inlineStr">
        <is>
          <t>A 8366-2025</t>
        </is>
      </c>
      <c r="B70" s="1" t="n">
        <v>45708</v>
      </c>
      <c r="C70" s="1" t="n">
        <v>46197</v>
      </c>
      <c r="D70" t="inlineStr">
        <is>
          <t>ÖREBRO LÄN</t>
        </is>
      </c>
      <c r="E70" t="inlineStr">
        <is>
          <t>ASKERSUND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HYPERLINK("https://klasma.github.io/Logging_1882/artfynd/A 8366-2025 artfynd.xlsx", "A 8366-2025")</f>
        <v/>
      </c>
      <c r="T70">
        <f>HYPERLINK("https://klasma.github.io/Logging_1882/kartor/A 8366-2025 karta.png", "A 8366-2025")</f>
        <v/>
      </c>
      <c r="V70">
        <f>HYPERLINK("https://klasma.github.io/Logging_1882/klagomål/A 8366-2025 FSC-klagomål.docx", "A 8366-2025")</f>
        <v/>
      </c>
      <c r="W70">
        <f>HYPERLINK("https://klasma.github.io/Logging_1882/klagomålsmail/A 8366-2025 FSC-klagomål mail.docx", "A 8366-2025")</f>
        <v/>
      </c>
      <c r="X70">
        <f>HYPERLINK("https://klasma.github.io/Logging_1882/tillsyn/A 8366-2025 tillsynsbegäran.docx", "A 8366-2025")</f>
        <v/>
      </c>
      <c r="Y70">
        <f>HYPERLINK("https://klasma.github.io/Logging_1882/tillsynsmail/A 8366-2025 tillsynsbegäran mail.docx", "A 8366-2025")</f>
        <v/>
      </c>
    </row>
    <row r="71" ht="15" customHeight="1">
      <c r="A71" t="inlineStr">
        <is>
          <t>A 7854-2025</t>
        </is>
      </c>
      <c r="B71" s="1" t="n">
        <v>45706</v>
      </c>
      <c r="C71" s="1" t="n">
        <v>46197</v>
      </c>
      <c r="D71" t="inlineStr">
        <is>
          <t>ÖREBRO LÄN</t>
        </is>
      </c>
      <c r="E71" t="inlineStr">
        <is>
          <t>ASKERSUND</t>
        </is>
      </c>
      <c r="F71" t="inlineStr">
        <is>
          <t>Kyrkan</t>
        </is>
      </c>
      <c r="G71" t="n">
        <v>7.6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HYPERLINK("https://klasma.github.io/Logging_1882/artfynd/A 7854-2025 artfynd.xlsx", "A 7854-2025")</f>
        <v/>
      </c>
      <c r="T71">
        <f>HYPERLINK("https://klasma.github.io/Logging_1882/kartor/A 7854-2025 karta.png", "A 7854-2025")</f>
        <v/>
      </c>
      <c r="V71">
        <f>HYPERLINK("https://klasma.github.io/Logging_1882/klagomål/A 7854-2025 FSC-klagomål.docx", "A 7854-2025")</f>
        <v/>
      </c>
      <c r="W71">
        <f>HYPERLINK("https://klasma.github.io/Logging_1882/klagomålsmail/A 7854-2025 FSC-klagomål mail.docx", "A 7854-2025")</f>
        <v/>
      </c>
      <c r="X71">
        <f>HYPERLINK("https://klasma.github.io/Logging_1882/tillsyn/A 7854-2025 tillsynsbegäran.docx", "A 7854-2025")</f>
        <v/>
      </c>
      <c r="Y71">
        <f>HYPERLINK("https://klasma.github.io/Logging_1882/tillsynsmail/A 7854-2025 tillsynsbegäran mail.docx", "A 7854-2025")</f>
        <v/>
      </c>
      <c r="Z71">
        <f>HYPERLINK("https://klasma.github.io/Logging_1882/fåglar/A 7854-2025 prioriterade fågelarter.docx", "A 7854-2025")</f>
        <v/>
      </c>
    </row>
    <row r="72" ht="15" customHeight="1">
      <c r="A72" t="inlineStr">
        <is>
          <t>A 54723-2021</t>
        </is>
      </c>
      <c r="B72" s="1" t="n">
        <v>44473</v>
      </c>
      <c r="C72" s="1" t="n">
        <v>46197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Älg</t>
        </is>
      </c>
      <c r="S72">
        <f>HYPERLINK("https://klasma.github.io/Logging_1882/artfynd/A 54723-2021 artfynd.xlsx", "A 54723-2021")</f>
        <v/>
      </c>
      <c r="T72">
        <f>HYPERLINK("https://klasma.github.io/Logging_1882/kartor/A 54723-2021 karta.png", "A 54723-2021")</f>
        <v/>
      </c>
      <c r="V72">
        <f>HYPERLINK("https://klasma.github.io/Logging_1882/klagomål/A 54723-2021 FSC-klagomål.docx", "A 54723-2021")</f>
        <v/>
      </c>
      <c r="W72">
        <f>HYPERLINK("https://klasma.github.io/Logging_1882/klagomålsmail/A 54723-2021 FSC-klagomål mail.docx", "A 54723-2021")</f>
        <v/>
      </c>
      <c r="X72">
        <f>HYPERLINK("https://klasma.github.io/Logging_1882/tillsyn/A 54723-2021 tillsynsbegäran.docx", "A 54723-2021")</f>
        <v/>
      </c>
      <c r="Y72">
        <f>HYPERLINK("https://klasma.github.io/Logging_1882/tillsynsmail/A 54723-2021 tillsynsbegäran mail.docx", "A 54723-2021")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46197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2445-2025</t>
        </is>
      </c>
      <c r="B74" s="1" t="n">
        <v>45674</v>
      </c>
      <c r="C74" s="1" t="n">
        <v>46197</v>
      </c>
      <c r="D74" t="inlineStr">
        <is>
          <t>ÖREBRO LÄN</t>
        </is>
      </c>
      <c r="E74" t="inlineStr">
        <is>
          <t>ASKERSUND</t>
        </is>
      </c>
      <c r="G74" t="n">
        <v>0.3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Åkerväddsantennmal</t>
        </is>
      </c>
      <c r="S74">
        <f>HYPERLINK("https://klasma.github.io/Logging_1882/artfynd/A 2445-2025 artfynd.xlsx", "A 2445-2025")</f>
        <v/>
      </c>
      <c r="T74">
        <f>HYPERLINK("https://klasma.github.io/Logging_1882/kartor/A 2445-2025 karta.png", "A 2445-2025")</f>
        <v/>
      </c>
      <c r="V74">
        <f>HYPERLINK("https://klasma.github.io/Logging_1882/klagomål/A 2445-2025 FSC-klagomål.docx", "A 2445-2025")</f>
        <v/>
      </c>
      <c r="W74">
        <f>HYPERLINK("https://klasma.github.io/Logging_1882/klagomålsmail/A 2445-2025 FSC-klagomål mail.docx", "A 2445-2025")</f>
        <v/>
      </c>
      <c r="X74">
        <f>HYPERLINK("https://klasma.github.io/Logging_1882/tillsyn/A 2445-2025 tillsynsbegäran.docx", "A 2445-2025")</f>
        <v/>
      </c>
      <c r="Y74">
        <f>HYPERLINK("https://klasma.github.io/Logging_1882/tillsynsmail/A 2445-2025 tillsynsbegäran mail.docx", "A 2445-2025")</f>
        <v/>
      </c>
    </row>
    <row r="75" ht="15" customHeight="1">
      <c r="A75" t="inlineStr">
        <is>
          <t>A 56967-2023</t>
        </is>
      </c>
      <c r="B75" s="1" t="n">
        <v>45244</v>
      </c>
      <c r="C75" s="1" t="n">
        <v>46197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Skogstrappmossa</t>
        </is>
      </c>
      <c r="S75">
        <f>HYPERLINK("https://klasma.github.io/Logging_1882/artfynd/A 56967-2023 artfynd.xlsx", "A 56967-2023")</f>
        <v/>
      </c>
      <c r="T75">
        <f>HYPERLINK("https://klasma.github.io/Logging_1882/kartor/A 56967-2023 karta.png", "A 56967-2023")</f>
        <v/>
      </c>
      <c r="V75">
        <f>HYPERLINK("https://klasma.github.io/Logging_1882/klagomål/A 56967-2023 FSC-klagomål.docx", "A 56967-2023")</f>
        <v/>
      </c>
      <c r="W75">
        <f>HYPERLINK("https://klasma.github.io/Logging_1882/klagomålsmail/A 56967-2023 FSC-klagomål mail.docx", "A 56967-2023")</f>
        <v/>
      </c>
      <c r="X75">
        <f>HYPERLINK("https://klasma.github.io/Logging_1882/tillsyn/A 56967-2023 tillsynsbegäran.docx", "A 56967-2023")</f>
        <v/>
      </c>
      <c r="Y75">
        <f>HYPERLINK("https://klasma.github.io/Logging_1882/tillsynsmail/A 56967-2023 tillsynsbegäran mail.docx", "A 56967-2023")</f>
        <v/>
      </c>
    </row>
    <row r="76" ht="15" customHeight="1">
      <c r="A76" t="inlineStr">
        <is>
          <t>A 32037-2024</t>
        </is>
      </c>
      <c r="B76" s="1" t="n">
        <v>45510</v>
      </c>
      <c r="C76" s="1" t="n">
        <v>46197</v>
      </c>
      <c r="D76" t="inlineStr">
        <is>
          <t>ÖREBRO LÄN</t>
        </is>
      </c>
      <c r="E76" t="inlineStr">
        <is>
          <t>ASKERSUND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32037-2024 artfynd.xlsx", "A 32037-2024")</f>
        <v/>
      </c>
      <c r="T76">
        <f>HYPERLINK("https://klasma.github.io/Logging_1882/kartor/A 32037-2024 karta.png", "A 32037-2024")</f>
        <v/>
      </c>
      <c r="V76">
        <f>HYPERLINK("https://klasma.github.io/Logging_1882/klagomål/A 32037-2024 FSC-klagomål.docx", "A 32037-2024")</f>
        <v/>
      </c>
      <c r="W76">
        <f>HYPERLINK("https://klasma.github.io/Logging_1882/klagomålsmail/A 32037-2024 FSC-klagomål mail.docx", "A 32037-2024")</f>
        <v/>
      </c>
      <c r="X76">
        <f>HYPERLINK("https://klasma.github.io/Logging_1882/tillsyn/A 32037-2024 tillsynsbegäran.docx", "A 32037-2024")</f>
        <v/>
      </c>
      <c r="Y76">
        <f>HYPERLINK("https://klasma.github.io/Logging_1882/tillsynsmail/A 32037-2024 tillsynsbegäran mail.docx", "A 32037-2024")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46197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63422-2021</t>
        </is>
      </c>
      <c r="B78" s="1" t="n">
        <v>44508</v>
      </c>
      <c r="C78" s="1" t="n">
        <v>46197</v>
      </c>
      <c r="D78" t="inlineStr">
        <is>
          <t>ÖREBRO LÄN</t>
        </is>
      </c>
      <c r="E78" t="inlineStr">
        <is>
          <t>ASKERSUND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Humlerotfjäril</t>
        </is>
      </c>
      <c r="S78">
        <f>HYPERLINK("https://klasma.github.io/Logging_1882/artfynd/A 63422-2021 artfynd.xlsx", "A 63422-2021")</f>
        <v/>
      </c>
      <c r="T78">
        <f>HYPERLINK("https://klasma.github.io/Logging_1882/kartor/A 63422-2021 karta.png", "A 63422-2021")</f>
        <v/>
      </c>
      <c r="V78">
        <f>HYPERLINK("https://klasma.github.io/Logging_1882/klagomål/A 63422-2021 FSC-klagomål.docx", "A 63422-2021")</f>
        <v/>
      </c>
      <c r="W78">
        <f>HYPERLINK("https://klasma.github.io/Logging_1882/klagomålsmail/A 63422-2021 FSC-klagomål mail.docx", "A 63422-2021")</f>
        <v/>
      </c>
      <c r="X78">
        <f>HYPERLINK("https://klasma.github.io/Logging_1882/tillsyn/A 63422-2021 tillsynsbegäran.docx", "A 63422-2021")</f>
        <v/>
      </c>
      <c r="Y78">
        <f>HYPERLINK("https://klasma.github.io/Logging_1882/tillsynsmail/A 63422-2021 tillsynsbegäran mail.docx", "A 63422-2021")</f>
        <v/>
      </c>
    </row>
    <row r="79" ht="15" customHeight="1">
      <c r="A79" t="inlineStr">
        <is>
          <t>A 2295-2023</t>
        </is>
      </c>
      <c r="B79" s="1" t="n">
        <v>44942</v>
      </c>
      <c r="C79" s="1" t="n">
        <v>46197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Sparvuggla</t>
        </is>
      </c>
      <c r="S79">
        <f>HYPERLINK("https://klasma.github.io/Logging_1882/artfynd/A 2295-2023 artfynd.xlsx", "A 2295-2023")</f>
        <v/>
      </c>
      <c r="T79">
        <f>HYPERLINK("https://klasma.github.io/Logging_1882/kartor/A 2295-2023 karta.png", "A 2295-2023")</f>
        <v/>
      </c>
      <c r="V79">
        <f>HYPERLINK("https://klasma.github.io/Logging_1882/klagomål/A 2295-2023 FSC-klagomål.docx", "A 2295-2023")</f>
        <v/>
      </c>
      <c r="W79">
        <f>HYPERLINK("https://klasma.github.io/Logging_1882/klagomålsmail/A 2295-2023 FSC-klagomål mail.docx", "A 2295-2023")</f>
        <v/>
      </c>
      <c r="X79">
        <f>HYPERLINK("https://klasma.github.io/Logging_1882/tillsyn/A 2295-2023 tillsynsbegäran.docx", "A 2295-2023")</f>
        <v/>
      </c>
      <c r="Y79">
        <f>HYPERLINK("https://klasma.github.io/Logging_1882/tillsynsmail/A 2295-2023 tillsynsbegäran mail.docx", "A 2295-2023")</f>
        <v/>
      </c>
      <c r="Z79">
        <f>HYPERLINK("https://klasma.github.io/Logging_1882/fåglar/A 2295-2023 prioriterade fågelarter.docx", "A 2295-2023")</f>
        <v/>
      </c>
    </row>
    <row r="80" ht="15" customHeight="1">
      <c r="A80" t="inlineStr">
        <is>
          <t>A 60357-2023</t>
        </is>
      </c>
      <c r="B80" s="1" t="n">
        <v>45258</v>
      </c>
      <c r="C80" s="1" t="n">
        <v>46197</v>
      </c>
      <c r="D80" t="inlineStr">
        <is>
          <t>ÖREBRO LÄN</t>
        </is>
      </c>
      <c r="E80" t="inlineStr">
        <is>
          <t>ASKERSUND</t>
        </is>
      </c>
      <c r="G80" t="n">
        <v>9.1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HYPERLINK("https://klasma.github.io/Logging_1882/artfynd/A 60357-2023 artfynd.xlsx", "A 60357-2023")</f>
        <v/>
      </c>
      <c r="T80">
        <f>HYPERLINK("https://klasma.github.io/Logging_1882/kartor/A 60357-2023 karta.png", "A 60357-2023")</f>
        <v/>
      </c>
      <c r="V80">
        <f>HYPERLINK("https://klasma.github.io/Logging_1882/klagomål/A 60357-2023 FSC-klagomål.docx", "A 60357-2023")</f>
        <v/>
      </c>
      <c r="W80">
        <f>HYPERLINK("https://klasma.github.io/Logging_1882/klagomålsmail/A 60357-2023 FSC-klagomål mail.docx", "A 60357-2023")</f>
        <v/>
      </c>
      <c r="X80">
        <f>HYPERLINK("https://klasma.github.io/Logging_1882/tillsyn/A 60357-2023 tillsynsbegäran.docx", "A 60357-2023")</f>
        <v/>
      </c>
      <c r="Y80">
        <f>HYPERLINK("https://klasma.github.io/Logging_1882/tillsynsmail/A 60357-2023 tillsynsbegäran mail.docx", "A 60357-2023")</f>
        <v/>
      </c>
    </row>
    <row r="81" ht="15" customHeight="1">
      <c r="A81" t="inlineStr">
        <is>
          <t>A 7069-2024</t>
        </is>
      </c>
      <c r="B81" s="1" t="n">
        <v>45343</v>
      </c>
      <c r="C81" s="1" t="n">
        <v>46197</v>
      </c>
      <c r="D81" t="inlineStr">
        <is>
          <t>ÖREBRO LÄN</t>
        </is>
      </c>
      <c r="E81" t="inlineStr">
        <is>
          <t>ASKERSUND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HYPERLINK("https://klasma.github.io/Logging_1882/artfynd/A 7069-2024 artfynd.xlsx", "A 7069-2024")</f>
        <v/>
      </c>
      <c r="T81">
        <f>HYPERLINK("https://klasma.github.io/Logging_1882/kartor/A 7069-2024 karta.png", "A 7069-2024")</f>
        <v/>
      </c>
      <c r="V81">
        <f>HYPERLINK("https://klasma.github.io/Logging_1882/klagomål/A 7069-2024 FSC-klagomål.docx", "A 7069-2024")</f>
        <v/>
      </c>
      <c r="W81">
        <f>HYPERLINK("https://klasma.github.io/Logging_1882/klagomålsmail/A 7069-2024 FSC-klagomål mail.docx", "A 7069-2024")</f>
        <v/>
      </c>
      <c r="X81">
        <f>HYPERLINK("https://klasma.github.io/Logging_1882/tillsyn/A 7069-2024 tillsynsbegäran.docx", "A 7069-2024")</f>
        <v/>
      </c>
      <c r="Y81">
        <f>HYPERLINK("https://klasma.github.io/Logging_1882/tillsynsmail/A 7069-2024 tillsynsbegäran mail.docx", "A 7069-2024")</f>
        <v/>
      </c>
    </row>
    <row r="82" ht="15" customHeight="1">
      <c r="A82" t="inlineStr">
        <is>
          <t>A 60240-2021</t>
        </is>
      </c>
      <c r="B82" s="1" t="n">
        <v>44495</v>
      </c>
      <c r="C82" s="1" t="n">
        <v>46197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68859-2021</t>
        </is>
      </c>
      <c r="B83" s="1" t="n">
        <v>44530</v>
      </c>
      <c r="C83" s="1" t="n">
        <v>46197</v>
      </c>
      <c r="D83" t="inlineStr">
        <is>
          <t>ÖREBRO LÄN</t>
        </is>
      </c>
      <c r="E83" t="inlineStr">
        <is>
          <t>ASKERSUND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51186-2021</t>
        </is>
      </c>
      <c r="B84" s="1" t="n">
        <v>44461</v>
      </c>
      <c r="C84" s="1" t="n">
        <v>46197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66235-2021</t>
        </is>
      </c>
      <c r="B85" s="1" t="n">
        <v>44518</v>
      </c>
      <c r="C85" s="1" t="n">
        <v>46197</v>
      </c>
      <c r="D85" t="inlineStr">
        <is>
          <t>ÖREBRO LÄN</t>
        </is>
      </c>
      <c r="E85" t="inlineStr">
        <is>
          <t>ASKERSUND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23700-2022</t>
        </is>
      </c>
      <c r="B86" s="1" t="n">
        <v>44721</v>
      </c>
      <c r="C86" s="1" t="n">
        <v>46197</v>
      </c>
      <c r="D86" t="inlineStr">
        <is>
          <t>ÖREBRO LÄN</t>
        </is>
      </c>
      <c r="E86" t="inlineStr">
        <is>
          <t>ASKERSUND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59557-2021</t>
        </is>
      </c>
      <c r="B87" s="1" t="n">
        <v>44491</v>
      </c>
      <c r="C87" s="1" t="n">
        <v>46197</v>
      </c>
      <c r="D87" t="inlineStr">
        <is>
          <t>ÖREBRO LÄN</t>
        </is>
      </c>
      <c r="E87" t="inlineStr">
        <is>
          <t>ASKERSUND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7400-2022</t>
        </is>
      </c>
      <c r="B88" s="1" t="n">
        <v>44606</v>
      </c>
      <c r="C88" s="1" t="n">
        <v>46197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56014-2022</t>
        </is>
      </c>
      <c r="B89" s="1" t="n">
        <v>44889</v>
      </c>
      <c r="C89" s="1" t="n">
        <v>46197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7468-2022</t>
        </is>
      </c>
      <c r="B90" s="1" t="n">
        <v>44607</v>
      </c>
      <c r="C90" s="1" t="n">
        <v>46197</v>
      </c>
      <c r="D90" t="inlineStr">
        <is>
          <t>ÖREBRO LÄN</t>
        </is>
      </c>
      <c r="E90" t="inlineStr">
        <is>
          <t>ASKERSUND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68719-2021</t>
        </is>
      </c>
      <c r="B91" s="1" t="n">
        <v>44529</v>
      </c>
      <c r="C91" s="1" t="n">
        <v>46197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56360-2021</t>
        </is>
      </c>
      <c r="B92" s="1" t="n">
        <v>44480</v>
      </c>
      <c r="C92" s="1" t="n">
        <v>46197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64115-2021</t>
        </is>
      </c>
      <c r="B93" s="1" t="n">
        <v>44509</v>
      </c>
      <c r="C93" s="1" t="n">
        <v>46197</v>
      </c>
      <c r="D93" t="inlineStr">
        <is>
          <t>ÖREBRO LÄN</t>
        </is>
      </c>
      <c r="E93" t="inlineStr">
        <is>
          <t>ASKERSUND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33157-2021</t>
        </is>
      </c>
      <c r="B94" s="1" t="n">
        <v>44376</v>
      </c>
      <c r="C94" s="1" t="n">
        <v>46197</v>
      </c>
      <c r="D94" t="inlineStr">
        <is>
          <t>ÖREBRO LÄN</t>
        </is>
      </c>
      <c r="E94" t="inlineStr">
        <is>
          <t>ASKERSUND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51180-2021</t>
        </is>
      </c>
      <c r="B95" s="1" t="n">
        <v>44461</v>
      </c>
      <c r="C95" s="1" t="n">
        <v>46197</v>
      </c>
      <c r="D95" t="inlineStr">
        <is>
          <t>ÖREBRO LÄN</t>
        </is>
      </c>
      <c r="E95" t="inlineStr">
        <is>
          <t>ASKERSUND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32578-2022</t>
        </is>
      </c>
      <c r="B96" s="1" t="n">
        <v>44783</v>
      </c>
      <c r="C96" s="1" t="n">
        <v>46197</v>
      </c>
      <c r="D96" t="inlineStr">
        <is>
          <t>ÖREBRO LÄN</t>
        </is>
      </c>
      <c r="E96" t="inlineStr">
        <is>
          <t>ASKERSUND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25860-2022</t>
        </is>
      </c>
      <c r="B97" s="1" t="n">
        <v>44733</v>
      </c>
      <c r="C97" s="1" t="n">
        <v>46197</v>
      </c>
      <c r="D97" t="inlineStr">
        <is>
          <t>ÖREBRO LÄN</t>
        </is>
      </c>
      <c r="E97" t="inlineStr">
        <is>
          <t>ASKERSUND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50137-2021</t>
        </is>
      </c>
      <c r="B98" s="1" t="n">
        <v>44456</v>
      </c>
      <c r="C98" s="1" t="n">
        <v>46197</v>
      </c>
      <c r="D98" t="inlineStr">
        <is>
          <t>ÖREBRO LÄN</t>
        </is>
      </c>
      <c r="E98" t="inlineStr">
        <is>
          <t>ASKERSUND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50251-2021</t>
        </is>
      </c>
      <c r="B99" s="1" t="n">
        <v>44458</v>
      </c>
      <c r="C99" s="1" t="n">
        <v>46197</v>
      </c>
      <c r="D99" t="inlineStr">
        <is>
          <t>ÖREBRO LÄN</t>
        </is>
      </c>
      <c r="E99" t="inlineStr">
        <is>
          <t>ASKERSUND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40999-2022</t>
        </is>
      </c>
      <c r="B100" s="1" t="n">
        <v>44825</v>
      </c>
      <c r="C100" s="1" t="n">
        <v>46197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65485-2021</t>
        </is>
      </c>
      <c r="B101" s="1" t="n">
        <v>44516</v>
      </c>
      <c r="C101" s="1" t="n">
        <v>46197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45297-2022</t>
        </is>
      </c>
      <c r="B102" s="1" t="n">
        <v>44844</v>
      </c>
      <c r="C102" s="1" t="n">
        <v>46197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39597-2021</t>
        </is>
      </c>
      <c r="B103" s="1" t="n">
        <v>44413</v>
      </c>
      <c r="C103" s="1" t="n">
        <v>46197</v>
      </c>
      <c r="D103" t="inlineStr">
        <is>
          <t>ÖREBRO LÄN</t>
        </is>
      </c>
      <c r="E103" t="inlineStr">
        <is>
          <t>ASKERSUND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52602-2021</t>
        </is>
      </c>
      <c r="B104" s="1" t="n">
        <v>44466</v>
      </c>
      <c r="C104" s="1" t="n">
        <v>46197</v>
      </c>
      <c r="D104" t="inlineStr">
        <is>
          <t>ÖREBRO LÄN</t>
        </is>
      </c>
      <c r="E104" t="inlineStr">
        <is>
          <t>ASKERSUND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46197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46197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</v>
      </c>
      <c r="C107" s="1" t="n">
        <v>46197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</v>
      </c>
      <c r="C108" s="1" t="n">
        <v>46197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46197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46197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46197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42830-2021</t>
        </is>
      </c>
      <c r="B112" s="1" t="n">
        <v>44430</v>
      </c>
      <c r="C112" s="1" t="n">
        <v>46197</v>
      </c>
      <c r="D112" t="inlineStr">
        <is>
          <t>ÖREBRO LÄN</t>
        </is>
      </c>
      <c r="E112" t="inlineStr">
        <is>
          <t>ASKERSUND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25059-2022</t>
        </is>
      </c>
      <c r="B113" s="1" t="n">
        <v>44729</v>
      </c>
      <c r="C113" s="1" t="n">
        <v>46197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</v>
      </c>
      <c r="C114" s="1" t="n">
        <v>46197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46197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32573-2022</t>
        </is>
      </c>
      <c r="B116" s="1" t="n">
        <v>44783</v>
      </c>
      <c r="C116" s="1" t="n">
        <v>46197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32325-2022</t>
        </is>
      </c>
      <c r="B117" s="1" t="n">
        <v>44781</v>
      </c>
      <c r="C117" s="1" t="n">
        <v>46197</v>
      </c>
      <c r="D117" t="inlineStr">
        <is>
          <t>ÖREBRO LÄN</t>
        </is>
      </c>
      <c r="E117" t="inlineStr">
        <is>
          <t>ASKERSUND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36080-2021</t>
        </is>
      </c>
      <c r="B118" s="1" t="n">
        <v>44389</v>
      </c>
      <c r="C118" s="1" t="n">
        <v>46197</v>
      </c>
      <c r="D118" t="inlineStr">
        <is>
          <t>ÖREBRO LÄN</t>
        </is>
      </c>
      <c r="E118" t="inlineStr">
        <is>
          <t>ASKERSUND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46197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46197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44150-2021</t>
        </is>
      </c>
      <c r="B121" s="1" t="n">
        <v>44434</v>
      </c>
      <c r="C121" s="1" t="n">
        <v>46197</v>
      </c>
      <c r="D121" t="inlineStr">
        <is>
          <t>ÖREBRO LÄN</t>
        </is>
      </c>
      <c r="E121" t="inlineStr">
        <is>
          <t>ASKERSUND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46197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48463-2021</t>
        </is>
      </c>
      <c r="B123" s="1" t="n">
        <v>44452</v>
      </c>
      <c r="C123" s="1" t="n">
        <v>46197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64008-2021</t>
        </is>
      </c>
      <c r="B124" s="1" t="n">
        <v>44510</v>
      </c>
      <c r="C124" s="1" t="n">
        <v>46197</v>
      </c>
      <c r="D124" t="inlineStr">
        <is>
          <t>ÖREBRO LÄN</t>
        </is>
      </c>
      <c r="E124" t="inlineStr">
        <is>
          <t>ASKERSUND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51227-2021</t>
        </is>
      </c>
      <c r="B125" s="1" t="n">
        <v>44461</v>
      </c>
      <c r="C125" s="1" t="n">
        <v>46197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38271-2021</t>
        </is>
      </c>
      <c r="B126" s="1" t="n">
        <v>44405</v>
      </c>
      <c r="C126" s="1" t="n">
        <v>46197</v>
      </c>
      <c r="D126" t="inlineStr">
        <is>
          <t>ÖREBRO LÄN</t>
        </is>
      </c>
      <c r="E126" t="inlineStr">
        <is>
          <t>ASKERSUND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46197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46197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30787-2022</t>
        </is>
      </c>
      <c r="B129" s="1" t="n">
        <v>44764</v>
      </c>
      <c r="C129" s="1" t="n">
        <v>46197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46197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46197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</v>
      </c>
      <c r="C132" s="1" t="n">
        <v>46197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46197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46197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46197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</v>
      </c>
      <c r="C136" s="1" t="n">
        <v>46197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46197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46197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46197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</v>
      </c>
      <c r="C140" s="1" t="n">
        <v>46197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</v>
      </c>
      <c r="C141" s="1" t="n">
        <v>46197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</v>
      </c>
      <c r="C142" s="1" t="n">
        <v>46197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</v>
      </c>
      <c r="C143" s="1" t="n">
        <v>46197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46197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</v>
      </c>
      <c r="C145" s="1" t="n">
        <v>46197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46197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</v>
      </c>
      <c r="C147" s="1" t="n">
        <v>46197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46197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</v>
      </c>
      <c r="C149" s="1" t="n">
        <v>46197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46197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46197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46197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46197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46197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46197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46197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46197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46197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</v>
      </c>
      <c r="C159" s="1" t="n">
        <v>46197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46197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46197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46197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46197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41249-2021</t>
        </is>
      </c>
      <c r="B164" s="1" t="n">
        <v>44424</v>
      </c>
      <c r="C164" s="1" t="n">
        <v>46197</v>
      </c>
      <c r="D164" t="inlineStr">
        <is>
          <t>ÖREBRO LÄN</t>
        </is>
      </c>
      <c r="E164" t="inlineStr">
        <is>
          <t>ASKERSUND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51205-2021</t>
        </is>
      </c>
      <c r="B165" s="1" t="n">
        <v>44461</v>
      </c>
      <c r="C165" s="1" t="n">
        <v>46197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34998-2022</t>
        </is>
      </c>
      <c r="B166" s="1" t="n">
        <v>44796</v>
      </c>
      <c r="C166" s="1" t="n">
        <v>46197</v>
      </c>
      <c r="D166" t="inlineStr">
        <is>
          <t>ÖREBRO LÄN</t>
        </is>
      </c>
      <c r="E166" t="inlineStr">
        <is>
          <t>ASKERSUND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65000-2021</t>
        </is>
      </c>
      <c r="B167" s="1" t="n">
        <v>44514</v>
      </c>
      <c r="C167" s="1" t="n">
        <v>46197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67275-2021</t>
        </is>
      </c>
      <c r="B168" s="1" t="n">
        <v>44523</v>
      </c>
      <c r="C168" s="1" t="n">
        <v>46197</v>
      </c>
      <c r="D168" t="inlineStr">
        <is>
          <t>ÖREBRO LÄN</t>
        </is>
      </c>
      <c r="E168" t="inlineStr">
        <is>
          <t>ASKERSUND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12730-2022</t>
        </is>
      </c>
      <c r="B169" s="1" t="n">
        <v>44641</v>
      </c>
      <c r="C169" s="1" t="n">
        <v>46197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13997-2022</t>
        </is>
      </c>
      <c r="B170" s="1" t="n">
        <v>44650</v>
      </c>
      <c r="C170" s="1" t="n">
        <v>46197</v>
      </c>
      <c r="D170" t="inlineStr">
        <is>
          <t>ÖREBRO LÄN</t>
        </is>
      </c>
      <c r="E170" t="inlineStr">
        <is>
          <t>ASKERSUND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4786-2022</t>
        </is>
      </c>
      <c r="B171" s="1" t="n">
        <v>44592</v>
      </c>
      <c r="C171" s="1" t="n">
        <v>46197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39605-2021</t>
        </is>
      </c>
      <c r="B172" s="1" t="n">
        <v>44413</v>
      </c>
      <c r="C172" s="1" t="n">
        <v>46197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36504-2021</t>
        </is>
      </c>
      <c r="B173" s="1" t="n">
        <v>44391</v>
      </c>
      <c r="C173" s="1" t="n">
        <v>46197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43421-2021</t>
        </is>
      </c>
      <c r="B174" s="1" t="n">
        <v>44432</v>
      </c>
      <c r="C174" s="1" t="n">
        <v>46197</v>
      </c>
      <c r="D174" t="inlineStr">
        <is>
          <t>ÖREBRO LÄN</t>
        </is>
      </c>
      <c r="E174" t="inlineStr">
        <is>
          <t>ASKERSUND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60961-2021</t>
        </is>
      </c>
      <c r="B175" s="1" t="n">
        <v>44497</v>
      </c>
      <c r="C175" s="1" t="n">
        <v>46197</v>
      </c>
      <c r="D175" t="inlineStr">
        <is>
          <t>ÖREBRO LÄN</t>
        </is>
      </c>
      <c r="E175" t="inlineStr">
        <is>
          <t>ASKERSUND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18409-2023</t>
        </is>
      </c>
      <c r="B176" s="1" t="n">
        <v>45042</v>
      </c>
      <c r="C176" s="1" t="n">
        <v>46197</v>
      </c>
      <c r="D176" t="inlineStr">
        <is>
          <t>ÖREBRO LÄN</t>
        </is>
      </c>
      <c r="E176" t="inlineStr">
        <is>
          <t>ASKERSUND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7077-2024</t>
        </is>
      </c>
      <c r="B177" s="1" t="n">
        <v>45343</v>
      </c>
      <c r="C177" s="1" t="n">
        <v>46197</v>
      </c>
      <c r="D177" t="inlineStr">
        <is>
          <t>ÖREBRO LÄN</t>
        </is>
      </c>
      <c r="E177" t="inlineStr">
        <is>
          <t>ASKERSUND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41094-2021</t>
        </is>
      </c>
      <c r="B178" s="1" t="n">
        <v>44422</v>
      </c>
      <c r="C178" s="1" t="n">
        <v>46197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41264-2023</t>
        </is>
      </c>
      <c r="B179" s="1" t="n">
        <v>45170</v>
      </c>
      <c r="C179" s="1" t="n">
        <v>46197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42198-2021</t>
        </is>
      </c>
      <c r="B180" s="1" t="n">
        <v>44426</v>
      </c>
      <c r="C180" s="1" t="n">
        <v>46197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49541-2023</t>
        </is>
      </c>
      <c r="B181" s="1" t="n">
        <v>45211</v>
      </c>
      <c r="C181" s="1" t="n">
        <v>46197</v>
      </c>
      <c r="D181" t="inlineStr">
        <is>
          <t>ÖREBRO LÄN</t>
        </is>
      </c>
      <c r="E181" t="inlineStr">
        <is>
          <t>ASKERSUND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43933-2024</t>
        </is>
      </c>
      <c r="B182" s="1" t="n">
        <v>45572</v>
      </c>
      <c r="C182" s="1" t="n">
        <v>46197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48612-2023</t>
        </is>
      </c>
      <c r="B183" s="1" t="n">
        <v>45208</v>
      </c>
      <c r="C183" s="1" t="n">
        <v>46197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34139-2022</t>
        </is>
      </c>
      <c r="B184" s="1" t="n">
        <v>44791</v>
      </c>
      <c r="C184" s="1" t="n">
        <v>46197</v>
      </c>
      <c r="D184" t="inlineStr">
        <is>
          <t>ÖREBRO LÄN</t>
        </is>
      </c>
      <c r="E184" t="inlineStr">
        <is>
          <t>ASKERSUND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55591-2023</t>
        </is>
      </c>
      <c r="B185" s="1" t="n">
        <v>45238</v>
      </c>
      <c r="C185" s="1" t="n">
        <v>46197</v>
      </c>
      <c r="D185" t="inlineStr">
        <is>
          <t>ÖREBRO LÄN</t>
        </is>
      </c>
      <c r="E185" t="inlineStr">
        <is>
          <t>ASKERSUND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46630-2021</t>
        </is>
      </c>
      <c r="B186" s="1" t="n">
        <v>44445</v>
      </c>
      <c r="C186" s="1" t="n">
        <v>46197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50857-2022</t>
        </is>
      </c>
      <c r="B187" s="1" t="n">
        <v>44864</v>
      </c>
      <c r="C187" s="1" t="n">
        <v>46197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26662-2022</t>
        </is>
      </c>
      <c r="B188" s="1" t="n">
        <v>44739</v>
      </c>
      <c r="C188" s="1" t="n">
        <v>46197</v>
      </c>
      <c r="D188" t="inlineStr">
        <is>
          <t>ÖREBRO LÄN</t>
        </is>
      </c>
      <c r="E188" t="inlineStr">
        <is>
          <t>ASKERSUND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59530-2023</t>
        </is>
      </c>
      <c r="B189" s="1" t="n">
        <v>45254</v>
      </c>
      <c r="C189" s="1" t="n">
        <v>46197</v>
      </c>
      <c r="D189" t="inlineStr">
        <is>
          <t>ÖREBRO LÄN</t>
        </is>
      </c>
      <c r="E189" t="inlineStr">
        <is>
          <t>ASKERSUND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37605-2022</t>
        </is>
      </c>
      <c r="B190" s="1" t="n">
        <v>44809</v>
      </c>
      <c r="C190" s="1" t="n">
        <v>46197</v>
      </c>
      <c r="D190" t="inlineStr">
        <is>
          <t>ÖREBRO LÄN</t>
        </is>
      </c>
      <c r="E190" t="inlineStr">
        <is>
          <t>ASKERSUND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11635-2024</t>
        </is>
      </c>
      <c r="B191" s="1" t="n">
        <v>45373</v>
      </c>
      <c r="C191" s="1" t="n">
        <v>46197</v>
      </c>
      <c r="D191" t="inlineStr">
        <is>
          <t>ÖREBRO LÄN</t>
        </is>
      </c>
      <c r="E191" t="inlineStr">
        <is>
          <t>ASKERSUND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23514-2024</t>
        </is>
      </c>
      <c r="B192" s="1" t="n">
        <v>45453</v>
      </c>
      <c r="C192" s="1" t="n">
        <v>46197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13893-2024</t>
        </is>
      </c>
      <c r="B193" s="1" t="n">
        <v>45391</v>
      </c>
      <c r="C193" s="1" t="n">
        <v>46197</v>
      </c>
      <c r="D193" t="inlineStr">
        <is>
          <t>ÖREBRO LÄN</t>
        </is>
      </c>
      <c r="E193" t="inlineStr">
        <is>
          <t>ASKERSUND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26412-2024</t>
        </is>
      </c>
      <c r="B194" s="1" t="n">
        <v>45469</v>
      </c>
      <c r="C194" s="1" t="n">
        <v>46197</v>
      </c>
      <c r="D194" t="inlineStr">
        <is>
          <t>ÖREBRO LÄN</t>
        </is>
      </c>
      <c r="E194" t="inlineStr">
        <is>
          <t>ASKERSUND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23914-2024</t>
        </is>
      </c>
      <c r="B195" s="1" t="n">
        <v>45455</v>
      </c>
      <c r="C195" s="1" t="n">
        <v>46197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29116-2024</t>
        </is>
      </c>
      <c r="B196" s="1" t="n">
        <v>45481</v>
      </c>
      <c r="C196" s="1" t="n">
        <v>46197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60965-2021</t>
        </is>
      </c>
      <c r="B197" s="1" t="n">
        <v>44497</v>
      </c>
      <c r="C197" s="1" t="n">
        <v>46197</v>
      </c>
      <c r="D197" t="inlineStr">
        <is>
          <t>ÖREBRO LÄN</t>
        </is>
      </c>
      <c r="E197" t="inlineStr">
        <is>
          <t>ASKERSUND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44976-2021</t>
        </is>
      </c>
      <c r="B198" s="1" t="n">
        <v>44438</v>
      </c>
      <c r="C198" s="1" t="n">
        <v>46197</v>
      </c>
      <c r="D198" t="inlineStr">
        <is>
          <t>ÖREBRO LÄN</t>
        </is>
      </c>
      <c r="E198" t="inlineStr">
        <is>
          <t>ASKERSUND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36031-2024</t>
        </is>
      </c>
      <c r="B199" s="1" t="n">
        <v>45533</v>
      </c>
      <c r="C199" s="1" t="n">
        <v>46197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29522-2024</t>
        </is>
      </c>
      <c r="B200" s="1" t="n">
        <v>45484</v>
      </c>
      <c r="C200" s="1" t="n">
        <v>46197</v>
      </c>
      <c r="D200" t="inlineStr">
        <is>
          <t>ÖREBRO LÄN</t>
        </is>
      </c>
      <c r="E200" t="inlineStr">
        <is>
          <t>ASKERSUND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4779-2023</t>
        </is>
      </c>
      <c r="B201" s="1" t="n">
        <v>44957</v>
      </c>
      <c r="C201" s="1" t="n">
        <v>46197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41762-2021</t>
        </is>
      </c>
      <c r="B202" s="1" t="n">
        <v>44425</v>
      </c>
      <c r="C202" s="1" t="n">
        <v>46197</v>
      </c>
      <c r="D202" t="inlineStr">
        <is>
          <t>ÖREBRO LÄN</t>
        </is>
      </c>
      <c r="E202" t="inlineStr">
        <is>
          <t>ASKERSUND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3675-2023</t>
        </is>
      </c>
      <c r="B203" s="1" t="n">
        <v>44950</v>
      </c>
      <c r="C203" s="1" t="n">
        <v>46197</v>
      </c>
      <c r="D203" t="inlineStr">
        <is>
          <t>ÖREBRO LÄN</t>
        </is>
      </c>
      <c r="E203" t="inlineStr">
        <is>
          <t>ASKERSUND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3680-2023</t>
        </is>
      </c>
      <c r="B204" s="1" t="n">
        <v>44950</v>
      </c>
      <c r="C204" s="1" t="n">
        <v>46197</v>
      </c>
      <c r="D204" t="inlineStr">
        <is>
          <t>ÖREBRO LÄN</t>
        </is>
      </c>
      <c r="E204" t="inlineStr">
        <is>
          <t>ASKERSUND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48458-2021</t>
        </is>
      </c>
      <c r="B205" s="1" t="n">
        <v>44452</v>
      </c>
      <c r="C205" s="1" t="n">
        <v>46197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31265-2024</t>
        </is>
      </c>
      <c r="B206" s="1" t="n">
        <v>45503</v>
      </c>
      <c r="C206" s="1" t="n">
        <v>46197</v>
      </c>
      <c r="D206" t="inlineStr">
        <is>
          <t>ÖREBRO LÄN</t>
        </is>
      </c>
      <c r="E206" t="inlineStr">
        <is>
          <t>ASKERSUND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54649-2023</t>
        </is>
      </c>
      <c r="B207" s="1" t="n">
        <v>45235</v>
      </c>
      <c r="C207" s="1" t="n">
        <v>46197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18981-2024</t>
        </is>
      </c>
      <c r="B208" s="1" t="n">
        <v>45427</v>
      </c>
      <c r="C208" s="1" t="n">
        <v>46197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29131-2024</t>
        </is>
      </c>
      <c r="B209" s="1" t="n">
        <v>45481</v>
      </c>
      <c r="C209" s="1" t="n">
        <v>46197</v>
      </c>
      <c r="D209" t="inlineStr">
        <is>
          <t>ÖREBRO LÄN</t>
        </is>
      </c>
      <c r="E209" t="inlineStr">
        <is>
          <t>ASKERSUND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47202-2024</t>
        </is>
      </c>
      <c r="B210" s="1" t="n">
        <v>45586</v>
      </c>
      <c r="C210" s="1" t="n">
        <v>46197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26198-2025</t>
        </is>
      </c>
      <c r="B211" s="1" t="n">
        <v>45805</v>
      </c>
      <c r="C211" s="1" t="n">
        <v>46197</v>
      </c>
      <c r="D211" t="inlineStr">
        <is>
          <t>ÖREBRO LÄN</t>
        </is>
      </c>
      <c r="E211" t="inlineStr">
        <is>
          <t>ASKERSUND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12418-2023</t>
        </is>
      </c>
      <c r="B212" s="1" t="n">
        <v>44999</v>
      </c>
      <c r="C212" s="1" t="n">
        <v>46197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12423-2023</t>
        </is>
      </c>
      <c r="B213" s="1" t="n">
        <v>44999</v>
      </c>
      <c r="C213" s="1" t="n">
        <v>46197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61189-2022</t>
        </is>
      </c>
      <c r="B214" s="1" t="n">
        <v>44915</v>
      </c>
      <c r="C214" s="1" t="n">
        <v>46197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3526-2026</t>
        </is>
      </c>
      <c r="B215" s="1" t="n">
        <v>46042</v>
      </c>
      <c r="C215" s="1" t="n">
        <v>46197</v>
      </c>
      <c r="D215" t="inlineStr">
        <is>
          <t>ÖREBRO LÄN</t>
        </is>
      </c>
      <c r="E215" t="inlineStr">
        <is>
          <t>ASKERSUND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12895-2022</t>
        </is>
      </c>
      <c r="B216" s="1" t="n">
        <v>44642</v>
      </c>
      <c r="C216" s="1" t="n">
        <v>46197</v>
      </c>
      <c r="D216" t="inlineStr">
        <is>
          <t>ÖREBRO LÄN</t>
        </is>
      </c>
      <c r="E216" t="inlineStr">
        <is>
          <t>ASKERSUND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3543-2026</t>
        </is>
      </c>
      <c r="B217" s="1" t="n">
        <v>46042</v>
      </c>
      <c r="C217" s="1" t="n">
        <v>46197</v>
      </c>
      <c r="D217" t="inlineStr">
        <is>
          <t>ÖREBRO LÄN</t>
        </is>
      </c>
      <c r="E217" t="inlineStr">
        <is>
          <t>ASKERSUND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3551-2026</t>
        </is>
      </c>
      <c r="B218" s="1" t="n">
        <v>46042</v>
      </c>
      <c r="C218" s="1" t="n">
        <v>46197</v>
      </c>
      <c r="D218" t="inlineStr">
        <is>
          <t>ÖREBRO LÄN</t>
        </is>
      </c>
      <c r="E218" t="inlineStr">
        <is>
          <t>ASKERSUND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1130-2026</t>
        </is>
      </c>
      <c r="B219" s="1" t="n">
        <v>46030</v>
      </c>
      <c r="C219" s="1" t="n">
        <v>46197</v>
      </c>
      <c r="D219" t="inlineStr">
        <is>
          <t>ÖREBRO LÄN</t>
        </is>
      </c>
      <c r="E219" t="inlineStr">
        <is>
          <t>ASKERSUND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17894-2025</t>
        </is>
      </c>
      <c r="B220" s="1" t="n">
        <v>45758</v>
      </c>
      <c r="C220" s="1" t="n">
        <v>46197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27835-2025</t>
        </is>
      </c>
      <c r="B221" s="1" t="n">
        <v>45817</v>
      </c>
      <c r="C221" s="1" t="n">
        <v>46197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38824-2025</t>
        </is>
      </c>
      <c r="B222" s="1" t="n">
        <v>45887</v>
      </c>
      <c r="C222" s="1" t="n">
        <v>46197</v>
      </c>
      <c r="D222" t="inlineStr">
        <is>
          <t>ÖREBRO LÄN</t>
        </is>
      </c>
      <c r="E222" t="inlineStr">
        <is>
          <t>ASKERSUND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73579-2021</t>
        </is>
      </c>
      <c r="B223" s="1" t="n">
        <v>44552</v>
      </c>
      <c r="C223" s="1" t="n">
        <v>46197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11969-2023</t>
        </is>
      </c>
      <c r="B224" s="1" t="n">
        <v>44995</v>
      </c>
      <c r="C224" s="1" t="n">
        <v>46197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27814-2025</t>
        </is>
      </c>
      <c r="B225" s="1" t="n">
        <v>45817</v>
      </c>
      <c r="C225" s="1" t="n">
        <v>46197</v>
      </c>
      <c r="D225" t="inlineStr">
        <is>
          <t>ÖREBRO LÄN</t>
        </is>
      </c>
      <c r="E225" t="inlineStr">
        <is>
          <t>ASKERSUND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39908-2025</t>
        </is>
      </c>
      <c r="B226" s="1" t="n">
        <v>45891</v>
      </c>
      <c r="C226" s="1" t="n">
        <v>46197</v>
      </c>
      <c r="D226" t="inlineStr">
        <is>
          <t>ÖREBRO LÄN</t>
        </is>
      </c>
      <c r="E226" t="inlineStr">
        <is>
          <t>ASKERSUND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7544-2024</t>
        </is>
      </c>
      <c r="B227" s="1" t="n">
        <v>45348</v>
      </c>
      <c r="C227" s="1" t="n">
        <v>46197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40587-2025</t>
        </is>
      </c>
      <c r="B228" s="1" t="n">
        <v>45896</v>
      </c>
      <c r="C228" s="1" t="n">
        <v>46197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29802-2025</t>
        </is>
      </c>
      <c r="B229" s="1" t="n">
        <v>45825</v>
      </c>
      <c r="C229" s="1" t="n">
        <v>46197</v>
      </c>
      <c r="D229" t="inlineStr">
        <is>
          <t>ÖREBRO LÄN</t>
        </is>
      </c>
      <c r="E229" t="inlineStr">
        <is>
          <t>ASKERSUND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61139-2021</t>
        </is>
      </c>
      <c r="B230" s="1" t="n">
        <v>44498</v>
      </c>
      <c r="C230" s="1" t="n">
        <v>46197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60114-2024</t>
        </is>
      </c>
      <c r="B231" s="1" t="n">
        <v>45642</v>
      </c>
      <c r="C231" s="1" t="n">
        <v>46197</v>
      </c>
      <c r="D231" t="inlineStr">
        <is>
          <t>ÖREBRO LÄN</t>
        </is>
      </c>
      <c r="E231" t="inlineStr">
        <is>
          <t>ASKERSUND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13617-2022</t>
        </is>
      </c>
      <c r="B232" s="1" t="n">
        <v>44648</v>
      </c>
      <c r="C232" s="1" t="n">
        <v>46197</v>
      </c>
      <c r="D232" t="inlineStr">
        <is>
          <t>ÖREBRO LÄN</t>
        </is>
      </c>
      <c r="E232" t="inlineStr">
        <is>
          <t>ASKERSUND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29983-2024</t>
        </is>
      </c>
      <c r="B233" s="1" t="n">
        <v>45485</v>
      </c>
      <c r="C233" s="1" t="n">
        <v>46197</v>
      </c>
      <c r="D233" t="inlineStr">
        <is>
          <t>ÖREBRO LÄN</t>
        </is>
      </c>
      <c r="E233" t="inlineStr">
        <is>
          <t>ASKERSUND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29985-2024</t>
        </is>
      </c>
      <c r="B234" s="1" t="n">
        <v>45485</v>
      </c>
      <c r="C234" s="1" t="n">
        <v>46197</v>
      </c>
      <c r="D234" t="inlineStr">
        <is>
          <t>ÖREBRO LÄN</t>
        </is>
      </c>
      <c r="E234" t="inlineStr">
        <is>
          <t>ASKERSUND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40745-2025</t>
        </is>
      </c>
      <c r="B235" s="1" t="n">
        <v>45897</v>
      </c>
      <c r="C235" s="1" t="n">
        <v>46197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15572-2022</t>
        </is>
      </c>
      <c r="B236" s="1" t="n">
        <v>44662</v>
      </c>
      <c r="C236" s="1" t="n">
        <v>46197</v>
      </c>
      <c r="D236" t="inlineStr">
        <is>
          <t>ÖREBRO LÄN</t>
        </is>
      </c>
      <c r="E236" t="inlineStr">
        <is>
          <t>ASKERSUND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35450-2021</t>
        </is>
      </c>
      <c r="B237" s="1" t="n">
        <v>44385</v>
      </c>
      <c r="C237" s="1" t="n">
        <v>46197</v>
      </c>
      <c r="D237" t="inlineStr">
        <is>
          <t>ÖREBRO LÄN</t>
        </is>
      </c>
      <c r="E237" t="inlineStr">
        <is>
          <t>ASKERSUND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47983-2022</t>
        </is>
      </c>
      <c r="B238" s="1" t="n">
        <v>44855</v>
      </c>
      <c r="C238" s="1" t="n">
        <v>46197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26485-2022</t>
        </is>
      </c>
      <c r="B239" s="1" t="n">
        <v>44739</v>
      </c>
      <c r="C239" s="1" t="n">
        <v>46197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12797-2025</t>
        </is>
      </c>
      <c r="B240" s="1" t="n">
        <v>45733</v>
      </c>
      <c r="C240" s="1" t="n">
        <v>46197</v>
      </c>
      <c r="D240" t="inlineStr">
        <is>
          <t>ÖREBRO LÄN</t>
        </is>
      </c>
      <c r="E240" t="inlineStr">
        <is>
          <t>ASKERSUND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30006-2024</t>
        </is>
      </c>
      <c r="B241" s="1" t="n">
        <v>45485</v>
      </c>
      <c r="C241" s="1" t="n">
        <v>46197</v>
      </c>
      <c r="D241" t="inlineStr">
        <is>
          <t>ÖREBRO LÄN</t>
        </is>
      </c>
      <c r="E241" t="inlineStr">
        <is>
          <t>ASKERSUND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9169-2022</t>
        </is>
      </c>
      <c r="B242" s="1" t="n">
        <v>44615</v>
      </c>
      <c r="C242" s="1" t="n">
        <v>46197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33660-2023</t>
        </is>
      </c>
      <c r="B243" s="1" t="n">
        <v>45132</v>
      </c>
      <c r="C243" s="1" t="n">
        <v>46197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28555-2023</t>
        </is>
      </c>
      <c r="B244" s="1" t="n">
        <v>45103</v>
      </c>
      <c r="C244" s="1" t="n">
        <v>46197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3679-2023</t>
        </is>
      </c>
      <c r="B245" s="1" t="n">
        <v>44950</v>
      </c>
      <c r="C245" s="1" t="n">
        <v>46197</v>
      </c>
      <c r="D245" t="inlineStr">
        <is>
          <t>ÖREBRO LÄN</t>
        </is>
      </c>
      <c r="E245" t="inlineStr">
        <is>
          <t>ASKERSUND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32040-2024</t>
        </is>
      </c>
      <c r="B246" s="1" t="n">
        <v>45510</v>
      </c>
      <c r="C246" s="1" t="n">
        <v>46197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42100-2025</t>
        </is>
      </c>
      <c r="B247" s="1" t="n">
        <v>45903</v>
      </c>
      <c r="C247" s="1" t="n">
        <v>46197</v>
      </c>
      <c r="D247" t="inlineStr">
        <is>
          <t>ÖREBRO LÄN</t>
        </is>
      </c>
      <c r="E247" t="inlineStr">
        <is>
          <t>ASKERSUND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642-2022</t>
        </is>
      </c>
      <c r="B248" s="1" t="n">
        <v>44568</v>
      </c>
      <c r="C248" s="1" t="n">
        <v>46197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16952-2022</t>
        </is>
      </c>
      <c r="B249" s="1" t="n">
        <v>44676</v>
      </c>
      <c r="C249" s="1" t="n">
        <v>46197</v>
      </c>
      <c r="D249" t="inlineStr">
        <is>
          <t>ÖREBRO LÄN</t>
        </is>
      </c>
      <c r="E249" t="inlineStr">
        <is>
          <t>ASKERSUND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16631-2024</t>
        </is>
      </c>
      <c r="B250" s="1" t="n">
        <v>45408</v>
      </c>
      <c r="C250" s="1" t="n">
        <v>46197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47344-2024</t>
        </is>
      </c>
      <c r="B251" s="1" t="n">
        <v>45587</v>
      </c>
      <c r="C251" s="1" t="n">
        <v>46197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13046-2024</t>
        </is>
      </c>
      <c r="B252" s="1" t="n">
        <v>45385</v>
      </c>
      <c r="C252" s="1" t="n">
        <v>46197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32145-2025</t>
        </is>
      </c>
      <c r="B253" s="1" t="n">
        <v>45835</v>
      </c>
      <c r="C253" s="1" t="n">
        <v>46197</v>
      </c>
      <c r="D253" t="inlineStr">
        <is>
          <t>ÖREBRO LÄN</t>
        </is>
      </c>
      <c r="E253" t="inlineStr">
        <is>
          <t>ASKERSUND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5050-2022</t>
        </is>
      </c>
      <c r="B254" s="1" t="n">
        <v>44593</v>
      </c>
      <c r="C254" s="1" t="n">
        <v>46197</v>
      </c>
      <c r="D254" t="inlineStr">
        <is>
          <t>ÖREBRO LÄN</t>
        </is>
      </c>
      <c r="E254" t="inlineStr">
        <is>
          <t>ASKERSUND</t>
        </is>
      </c>
      <c r="F254" t="inlineStr">
        <is>
          <t>Allmännings- och besparingsskogar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33200-2025</t>
        </is>
      </c>
      <c r="B255" s="1" t="n">
        <v>45840</v>
      </c>
      <c r="C255" s="1" t="n">
        <v>46197</v>
      </c>
      <c r="D255" t="inlineStr">
        <is>
          <t>ÖREBRO LÄN</t>
        </is>
      </c>
      <c r="E255" t="inlineStr">
        <is>
          <t>ASKERSUND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15806-2024</t>
        </is>
      </c>
      <c r="B256" s="1" t="n">
        <v>45404</v>
      </c>
      <c r="C256" s="1" t="n">
        <v>46197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37294-2021</t>
        </is>
      </c>
      <c r="B257" s="1" t="n">
        <v>44397</v>
      </c>
      <c r="C257" s="1" t="n">
        <v>46197</v>
      </c>
      <c r="D257" t="inlineStr">
        <is>
          <t>ÖREBRO LÄN</t>
        </is>
      </c>
      <c r="E257" t="inlineStr">
        <is>
          <t>ASKERSUND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50102-2024</t>
        </is>
      </c>
      <c r="B258" s="1" t="n">
        <v>45599</v>
      </c>
      <c r="C258" s="1" t="n">
        <v>46197</v>
      </c>
      <c r="D258" t="inlineStr">
        <is>
          <t>ÖREBRO LÄN</t>
        </is>
      </c>
      <c r="E258" t="inlineStr">
        <is>
          <t>ASKERSUND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59562-2022</t>
        </is>
      </c>
      <c r="B259" s="1" t="n">
        <v>44907</v>
      </c>
      <c r="C259" s="1" t="n">
        <v>46197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3749-2026</t>
        </is>
      </c>
      <c r="B260" s="1" t="n">
        <v>46043</v>
      </c>
      <c r="C260" s="1" t="n">
        <v>46197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44938-2021</t>
        </is>
      </c>
      <c r="B261" s="1" t="n">
        <v>44438</v>
      </c>
      <c r="C261" s="1" t="n">
        <v>46197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34434-2025</t>
        </is>
      </c>
      <c r="B262" s="1" t="n">
        <v>45846</v>
      </c>
      <c r="C262" s="1" t="n">
        <v>46197</v>
      </c>
      <c r="D262" t="inlineStr">
        <is>
          <t>ÖREBRO LÄN</t>
        </is>
      </c>
      <c r="E262" t="inlineStr">
        <is>
          <t>ASKERSUND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44679-2025</t>
        </is>
      </c>
      <c r="B263" s="1" t="n">
        <v>45917</v>
      </c>
      <c r="C263" s="1" t="n">
        <v>46197</v>
      </c>
      <c r="D263" t="inlineStr">
        <is>
          <t>ÖREBRO LÄN</t>
        </is>
      </c>
      <c r="E263" t="inlineStr">
        <is>
          <t>ASKERSUND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45543-2025</t>
        </is>
      </c>
      <c r="B264" s="1" t="n">
        <v>45922</v>
      </c>
      <c r="C264" s="1" t="n">
        <v>46197</v>
      </c>
      <c r="D264" t="inlineStr">
        <is>
          <t>ÖREBRO LÄN</t>
        </is>
      </c>
      <c r="E264" t="inlineStr">
        <is>
          <t>ASKERSUND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45501-2025</t>
        </is>
      </c>
      <c r="B265" s="1" t="n">
        <v>45922</v>
      </c>
      <c r="C265" s="1" t="n">
        <v>46197</v>
      </c>
      <c r="D265" t="inlineStr">
        <is>
          <t>ÖREBRO LÄN</t>
        </is>
      </c>
      <c r="E265" t="inlineStr">
        <is>
          <t>ASKERSUND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50014-2021</t>
        </is>
      </c>
      <c r="B266" s="1" t="n">
        <v>44456</v>
      </c>
      <c r="C266" s="1" t="n">
        <v>46197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14598-2025</t>
        </is>
      </c>
      <c r="B267" s="1" t="n">
        <v>45742</v>
      </c>
      <c r="C267" s="1" t="n">
        <v>46197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43958-2024</t>
        </is>
      </c>
      <c r="B268" s="1" t="n">
        <v>45572</v>
      </c>
      <c r="C268" s="1" t="n">
        <v>46197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59940-2023</t>
        </is>
      </c>
      <c r="B269" s="1" t="n">
        <v>45257</v>
      </c>
      <c r="C269" s="1" t="n">
        <v>46197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12732-2022</t>
        </is>
      </c>
      <c r="B270" s="1" t="n">
        <v>44641</v>
      </c>
      <c r="C270" s="1" t="n">
        <v>46197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32679-2025</t>
        </is>
      </c>
      <c r="B271" s="1" t="n">
        <v>45838</v>
      </c>
      <c r="C271" s="1" t="n">
        <v>46197</v>
      </c>
      <c r="D271" t="inlineStr">
        <is>
          <t>ÖREBRO LÄN</t>
        </is>
      </c>
      <c r="E271" t="inlineStr">
        <is>
          <t>ASKERSUND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46174-2021</t>
        </is>
      </c>
      <c r="B272" s="1" t="n">
        <v>44442</v>
      </c>
      <c r="C272" s="1" t="n">
        <v>46197</v>
      </c>
      <c r="D272" t="inlineStr">
        <is>
          <t>ÖREBRO LÄN</t>
        </is>
      </c>
      <c r="E272" t="inlineStr">
        <is>
          <t>ASKERSUND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4428-2026</t>
        </is>
      </c>
      <c r="B273" s="1" t="n">
        <v>46045</v>
      </c>
      <c r="C273" s="1" t="n">
        <v>46197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47296-2025</t>
        </is>
      </c>
      <c r="B274" s="1" t="n">
        <v>45930</v>
      </c>
      <c r="C274" s="1" t="n">
        <v>46197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31512-2023</t>
        </is>
      </c>
      <c r="B275" s="1" t="n">
        <v>45115</v>
      </c>
      <c r="C275" s="1" t="n">
        <v>46197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16097-2023</t>
        </is>
      </c>
      <c r="B276" s="1" t="n">
        <v>45027</v>
      </c>
      <c r="C276" s="1" t="n">
        <v>46197</v>
      </c>
      <c r="D276" t="inlineStr">
        <is>
          <t>ÖREBRO LÄN</t>
        </is>
      </c>
      <c r="E276" t="inlineStr">
        <is>
          <t>ASKERSUND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52786-2023</t>
        </is>
      </c>
      <c r="B277" s="1" t="n">
        <v>45226</v>
      </c>
      <c r="C277" s="1" t="n">
        <v>46197</v>
      </c>
      <c r="D277" t="inlineStr">
        <is>
          <t>ÖREBRO LÄN</t>
        </is>
      </c>
      <c r="E277" t="inlineStr">
        <is>
          <t>ASKERSUND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62319-2023</t>
        </is>
      </c>
      <c r="B278" s="1" t="n">
        <v>45267</v>
      </c>
      <c r="C278" s="1" t="n">
        <v>46197</v>
      </c>
      <c r="D278" t="inlineStr">
        <is>
          <t>ÖREBRO LÄN</t>
        </is>
      </c>
      <c r="E278" t="inlineStr">
        <is>
          <t>ASKERSUND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48619-2025</t>
        </is>
      </c>
      <c r="B279" s="1" t="n">
        <v>45936</v>
      </c>
      <c r="C279" s="1" t="n">
        <v>46197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8210-2022</t>
        </is>
      </c>
      <c r="B280" s="1" t="n">
        <v>44609</v>
      </c>
      <c r="C280" s="1" t="n">
        <v>46197</v>
      </c>
      <c r="D280" t="inlineStr">
        <is>
          <t>ÖREBRO LÄN</t>
        </is>
      </c>
      <c r="E280" t="inlineStr">
        <is>
          <t>ASKERSUND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41838-2022</t>
        </is>
      </c>
      <c r="B281" s="1" t="n">
        <v>44828</v>
      </c>
      <c r="C281" s="1" t="n">
        <v>46197</v>
      </c>
      <c r="D281" t="inlineStr">
        <is>
          <t>ÖREBRO LÄN</t>
        </is>
      </c>
      <c r="E281" t="inlineStr">
        <is>
          <t>ASKERSUND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33258-2025</t>
        </is>
      </c>
      <c r="B282" s="1" t="n">
        <v>45840</v>
      </c>
      <c r="C282" s="1" t="n">
        <v>46197</v>
      </c>
      <c r="D282" t="inlineStr">
        <is>
          <t>ÖREBRO LÄN</t>
        </is>
      </c>
      <c r="E282" t="inlineStr">
        <is>
          <t>ASKERSUND</t>
        </is>
      </c>
      <c r="G282" t="n">
        <v>17.3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49924-2025</t>
        </is>
      </c>
      <c r="B283" s="1" t="n">
        <v>45940</v>
      </c>
      <c r="C283" s="1" t="n">
        <v>46197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58155-2021</t>
        </is>
      </c>
      <c r="B284" s="1" t="n">
        <v>44487</v>
      </c>
      <c r="C284" s="1" t="n">
        <v>46197</v>
      </c>
      <c r="D284" t="inlineStr">
        <is>
          <t>ÖREBRO LÄN</t>
        </is>
      </c>
      <c r="E284" t="inlineStr">
        <is>
          <t>ASKERSUND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31668-2024</t>
        </is>
      </c>
      <c r="B285" s="1" t="n">
        <v>45506</v>
      </c>
      <c r="C285" s="1" t="n">
        <v>46197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15976-2023</t>
        </is>
      </c>
      <c r="B286" s="1" t="n">
        <v>45022</v>
      </c>
      <c r="C286" s="1" t="n">
        <v>46197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55047-2021</t>
        </is>
      </c>
      <c r="B287" s="1" t="n">
        <v>44474</v>
      </c>
      <c r="C287" s="1" t="n">
        <v>46197</v>
      </c>
      <c r="D287" t="inlineStr">
        <is>
          <t>ÖREBRO LÄN</t>
        </is>
      </c>
      <c r="E287" t="inlineStr">
        <is>
          <t>ASKERSUND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29229-2023</t>
        </is>
      </c>
      <c r="B288" s="1" t="n">
        <v>45105</v>
      </c>
      <c r="C288" s="1" t="n">
        <v>46197</v>
      </c>
      <c r="D288" t="inlineStr">
        <is>
          <t>ÖREBRO LÄN</t>
        </is>
      </c>
      <c r="E288" t="inlineStr">
        <is>
          <t>ASKERSUND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44972-2021</t>
        </is>
      </c>
      <c r="B289" s="1" t="n">
        <v>44438</v>
      </c>
      <c r="C289" s="1" t="n">
        <v>46197</v>
      </c>
      <c r="D289" t="inlineStr">
        <is>
          <t>ÖREBRO LÄN</t>
        </is>
      </c>
      <c r="E289" t="inlineStr">
        <is>
          <t>ASKERSUND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7182-2026</t>
        </is>
      </c>
      <c r="B290" s="1" t="n">
        <v>46058</v>
      </c>
      <c r="C290" s="1" t="n">
        <v>46197</v>
      </c>
      <c r="D290" t="inlineStr">
        <is>
          <t>ÖREBRO LÄN</t>
        </is>
      </c>
      <c r="E290" t="inlineStr">
        <is>
          <t>ASKERSUND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12426-2023</t>
        </is>
      </c>
      <c r="B291" s="1" t="n">
        <v>44999</v>
      </c>
      <c r="C291" s="1" t="n">
        <v>46197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46174-2021</t>
        </is>
      </c>
      <c r="B292" s="1" t="n">
        <v>44442</v>
      </c>
      <c r="C292" s="1" t="n">
        <v>46197</v>
      </c>
      <c r="D292" t="inlineStr">
        <is>
          <t>ÖREBRO LÄN</t>
        </is>
      </c>
      <c r="E292" t="inlineStr">
        <is>
          <t>ASKERSUND</t>
        </is>
      </c>
      <c r="G292" t="n">
        <v>15.7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51897-2024</t>
        </is>
      </c>
      <c r="B293" s="1" t="n">
        <v>45607</v>
      </c>
      <c r="C293" s="1" t="n">
        <v>46197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37532-2023</t>
        </is>
      </c>
      <c r="B294" s="1" t="n">
        <v>45158</v>
      </c>
      <c r="C294" s="1" t="n">
        <v>46197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53286-2025</t>
        </is>
      </c>
      <c r="B295" s="1" t="n">
        <v>45958</v>
      </c>
      <c r="C295" s="1" t="n">
        <v>46197</v>
      </c>
      <c r="D295" t="inlineStr">
        <is>
          <t>ÖREBRO LÄN</t>
        </is>
      </c>
      <c r="E295" t="inlineStr">
        <is>
          <t>ASKERSUND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62109-2024</t>
        </is>
      </c>
      <c r="B296" s="1" t="n">
        <v>45656</v>
      </c>
      <c r="C296" s="1" t="n">
        <v>46197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16643-2023</t>
        </is>
      </c>
      <c r="B297" s="1" t="n">
        <v>45030</v>
      </c>
      <c r="C297" s="1" t="n">
        <v>46197</v>
      </c>
      <c r="D297" t="inlineStr">
        <is>
          <t>ÖREBRO LÄN</t>
        </is>
      </c>
      <c r="E297" t="inlineStr">
        <is>
          <t>ASKERSUND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29401-2022</t>
        </is>
      </c>
      <c r="B298" s="1" t="n">
        <v>44753</v>
      </c>
      <c r="C298" s="1" t="n">
        <v>46197</v>
      </c>
      <c r="D298" t="inlineStr">
        <is>
          <t>ÖREBRO LÄN</t>
        </is>
      </c>
      <c r="E298" t="inlineStr">
        <is>
          <t>ASKERSUND</t>
        </is>
      </c>
      <c r="F298" t="inlineStr">
        <is>
          <t>Övriga Aktiebolag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54169-2025</t>
        </is>
      </c>
      <c r="B299" s="1" t="n">
        <v>45964</v>
      </c>
      <c r="C299" s="1" t="n">
        <v>46197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54142-2025</t>
        </is>
      </c>
      <c r="B300" s="1" t="n">
        <v>45964</v>
      </c>
      <c r="C300" s="1" t="n">
        <v>46197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54170-2025</t>
        </is>
      </c>
      <c r="B301" s="1" t="n">
        <v>45964</v>
      </c>
      <c r="C301" s="1" t="n">
        <v>46197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8961-2026</t>
        </is>
      </c>
      <c r="B302" s="1" t="n">
        <v>46069</v>
      </c>
      <c r="C302" s="1" t="n">
        <v>46197</v>
      </c>
      <c r="D302" t="inlineStr">
        <is>
          <t>ÖREBRO LÄN</t>
        </is>
      </c>
      <c r="E302" t="inlineStr">
        <is>
          <t>ASKERSUND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8988-2026</t>
        </is>
      </c>
      <c r="B303" s="1" t="n">
        <v>46069</v>
      </c>
      <c r="C303" s="1" t="n">
        <v>46197</v>
      </c>
      <c r="D303" t="inlineStr">
        <is>
          <t>ÖREBRO LÄN</t>
        </is>
      </c>
      <c r="E303" t="inlineStr">
        <is>
          <t>ASKERSUND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9575-2026</t>
        </is>
      </c>
      <c r="B304" s="1" t="n">
        <v>46071</v>
      </c>
      <c r="C304" s="1" t="n">
        <v>46197</v>
      </c>
      <c r="D304" t="inlineStr">
        <is>
          <t>ÖREBRO LÄN</t>
        </is>
      </c>
      <c r="E304" t="inlineStr">
        <is>
          <t>ASKERSUND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9400-2026</t>
        </is>
      </c>
      <c r="B305" s="1" t="n">
        <v>46071</v>
      </c>
      <c r="C305" s="1" t="n">
        <v>46197</v>
      </c>
      <c r="D305" t="inlineStr">
        <is>
          <t>ÖREBRO LÄN</t>
        </is>
      </c>
      <c r="E305" t="inlineStr">
        <is>
          <t>ASKERSUND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56221-2025</t>
        </is>
      </c>
      <c r="B306" s="1" t="n">
        <v>45974</v>
      </c>
      <c r="C306" s="1" t="n">
        <v>46197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28692-2022</t>
        </is>
      </c>
      <c r="B307" s="1" t="n">
        <v>44748</v>
      </c>
      <c r="C307" s="1" t="n">
        <v>46197</v>
      </c>
      <c r="D307" t="inlineStr">
        <is>
          <t>ÖREBRO LÄN</t>
        </is>
      </c>
      <c r="E307" t="inlineStr">
        <is>
          <t>ASKERSUND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11229-2026</t>
        </is>
      </c>
      <c r="B308" s="1" t="n">
        <v>46080</v>
      </c>
      <c r="C308" s="1" t="n">
        <v>46197</v>
      </c>
      <c r="D308" t="inlineStr">
        <is>
          <t>ÖREBRO LÄN</t>
        </is>
      </c>
      <c r="E308" t="inlineStr">
        <is>
          <t>ASKERSUND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10204-2025</t>
        </is>
      </c>
      <c r="B309" s="1" t="n">
        <v>45719</v>
      </c>
      <c r="C309" s="1" t="n">
        <v>46197</v>
      </c>
      <c r="D309" t="inlineStr">
        <is>
          <t>ÖREBRO LÄN</t>
        </is>
      </c>
      <c r="E309" t="inlineStr">
        <is>
          <t>ASKERSUND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58726-2025</t>
        </is>
      </c>
      <c r="B310" s="1" t="n">
        <v>45986</v>
      </c>
      <c r="C310" s="1" t="n">
        <v>46197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59232-2025</t>
        </is>
      </c>
      <c r="B311" s="1" t="n">
        <v>45988</v>
      </c>
      <c r="C311" s="1" t="n">
        <v>46197</v>
      </c>
      <c r="D311" t="inlineStr">
        <is>
          <t>ÖREBRO LÄN</t>
        </is>
      </c>
      <c r="E311" t="inlineStr">
        <is>
          <t>ASKERSUND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36503-2021</t>
        </is>
      </c>
      <c r="B312" s="1" t="n">
        <v>44391</v>
      </c>
      <c r="C312" s="1" t="n">
        <v>46197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58806-2025</t>
        </is>
      </c>
      <c r="B313" s="1" t="n">
        <v>45987</v>
      </c>
      <c r="C313" s="1" t="n">
        <v>46197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59235-2025</t>
        </is>
      </c>
      <c r="B314" s="1" t="n">
        <v>45988</v>
      </c>
      <c r="C314" s="1" t="n">
        <v>46197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59236-2025</t>
        </is>
      </c>
      <c r="B315" s="1" t="n">
        <v>45988</v>
      </c>
      <c r="C315" s="1" t="n">
        <v>46197</v>
      </c>
      <c r="D315" t="inlineStr">
        <is>
          <t>ÖREBRO LÄN</t>
        </is>
      </c>
      <c r="E315" t="inlineStr">
        <is>
          <t>ASKERSUND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32994-2024</t>
        </is>
      </c>
      <c r="B316" s="1" t="n">
        <v>45517</v>
      </c>
      <c r="C316" s="1" t="n">
        <v>46197</v>
      </c>
      <c r="D316" t="inlineStr">
        <is>
          <t>ÖREBRO LÄN</t>
        </is>
      </c>
      <c r="E316" t="inlineStr">
        <is>
          <t>ASKERSUND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60224-2025</t>
        </is>
      </c>
      <c r="B317" s="1" t="n">
        <v>45994</v>
      </c>
      <c r="C317" s="1" t="n">
        <v>46197</v>
      </c>
      <c r="D317" t="inlineStr">
        <is>
          <t>ÖREBRO LÄN</t>
        </is>
      </c>
      <c r="E317" t="inlineStr">
        <is>
          <t>ASKERSUND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32215-2024</t>
        </is>
      </c>
      <c r="B318" s="1" t="n">
        <v>45511</v>
      </c>
      <c r="C318" s="1" t="n">
        <v>46197</v>
      </c>
      <c r="D318" t="inlineStr">
        <is>
          <t>ÖREBRO LÄN</t>
        </is>
      </c>
      <c r="E318" t="inlineStr">
        <is>
          <t>ASKERSUND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1360-2022</t>
        </is>
      </c>
      <c r="B319" s="1" t="n">
        <v>44573</v>
      </c>
      <c r="C319" s="1" t="n">
        <v>46197</v>
      </c>
      <c r="D319" t="inlineStr">
        <is>
          <t>ÖREBRO LÄN</t>
        </is>
      </c>
      <c r="E319" t="inlineStr">
        <is>
          <t>ASKERSUND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61533-2025</t>
        </is>
      </c>
      <c r="B320" s="1" t="n">
        <v>46001</v>
      </c>
      <c r="C320" s="1" t="n">
        <v>46197</v>
      </c>
      <c r="D320" t="inlineStr">
        <is>
          <t>ÖREBRO LÄN</t>
        </is>
      </c>
      <c r="E320" t="inlineStr">
        <is>
          <t>ASKERSUND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52292-2021</t>
        </is>
      </c>
      <c r="B321" s="1" t="n">
        <v>44463</v>
      </c>
      <c r="C321" s="1" t="n">
        <v>46197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22805-2023</t>
        </is>
      </c>
      <c r="B322" s="1" t="n">
        <v>45072</v>
      </c>
      <c r="C322" s="1" t="n">
        <v>46197</v>
      </c>
      <c r="D322" t="inlineStr">
        <is>
          <t>ÖREBRO LÄN</t>
        </is>
      </c>
      <c r="E322" t="inlineStr">
        <is>
          <t>ASKERSUND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14497-2025</t>
        </is>
      </c>
      <c r="B323" s="1" t="n">
        <v>45741</v>
      </c>
      <c r="C323" s="1" t="n">
        <v>46197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58420-2021</t>
        </is>
      </c>
      <c r="B324" s="1" t="n">
        <v>44488</v>
      </c>
      <c r="C324" s="1" t="n">
        <v>46197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13648-2026</t>
        </is>
      </c>
      <c r="B325" s="1" t="n">
        <v>46095</v>
      </c>
      <c r="C325" s="1" t="n">
        <v>46197</v>
      </c>
      <c r="D325" t="inlineStr">
        <is>
          <t>ÖREBRO LÄN</t>
        </is>
      </c>
      <c r="E325" t="inlineStr">
        <is>
          <t>ASKERSUND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14225-2026</t>
        </is>
      </c>
      <c r="B326" s="1" t="n">
        <v>46099</v>
      </c>
      <c r="C326" s="1" t="n">
        <v>46197</v>
      </c>
      <c r="D326" t="inlineStr">
        <is>
          <t>ÖREBRO LÄN</t>
        </is>
      </c>
      <c r="E326" t="inlineStr">
        <is>
          <t>ASKERSUND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62550-2025</t>
        </is>
      </c>
      <c r="B327" s="1" t="n">
        <v>46007</v>
      </c>
      <c r="C327" s="1" t="n">
        <v>46197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5518-2022</t>
        </is>
      </c>
      <c r="B328" s="1" t="n">
        <v>44595</v>
      </c>
      <c r="C328" s="1" t="n">
        <v>46197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29235-2023</t>
        </is>
      </c>
      <c r="B329" s="1" t="n">
        <v>45105</v>
      </c>
      <c r="C329" s="1" t="n">
        <v>46197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32038-2024</t>
        </is>
      </c>
      <c r="B330" s="1" t="n">
        <v>45510</v>
      </c>
      <c r="C330" s="1" t="n">
        <v>46197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63318-2025</t>
        </is>
      </c>
      <c r="B331" s="1" t="n">
        <v>46010</v>
      </c>
      <c r="C331" s="1" t="n">
        <v>46197</v>
      </c>
      <c r="D331" t="inlineStr">
        <is>
          <t>ÖREBRO LÄN</t>
        </is>
      </c>
      <c r="E331" t="inlineStr">
        <is>
          <t>ASKERSUND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63356-2025</t>
        </is>
      </c>
      <c r="B332" s="1" t="n">
        <v>46010</v>
      </c>
      <c r="C332" s="1" t="n">
        <v>46197</v>
      </c>
      <c r="D332" t="inlineStr">
        <is>
          <t>ÖREBRO LÄN</t>
        </is>
      </c>
      <c r="E332" t="inlineStr">
        <is>
          <t>ASKERSUND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44972-2021</t>
        </is>
      </c>
      <c r="B333" s="1" t="n">
        <v>44438</v>
      </c>
      <c r="C333" s="1" t="n">
        <v>46197</v>
      </c>
      <c r="D333" t="inlineStr">
        <is>
          <t>ÖREBRO LÄN</t>
        </is>
      </c>
      <c r="E333" t="inlineStr">
        <is>
          <t>ASKERSUND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63546-2025</t>
        </is>
      </c>
      <c r="B334" s="1" t="n">
        <v>46013</v>
      </c>
      <c r="C334" s="1" t="n">
        <v>46197</v>
      </c>
      <c r="D334" t="inlineStr">
        <is>
          <t>ÖREBRO LÄN</t>
        </is>
      </c>
      <c r="E334" t="inlineStr">
        <is>
          <t>ASKERSUND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48869-2022</t>
        </is>
      </c>
      <c r="B335" s="1" t="n">
        <v>44859</v>
      </c>
      <c r="C335" s="1" t="n">
        <v>46197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1127-2026</t>
        </is>
      </c>
      <c r="B336" s="1" t="n">
        <v>46030</v>
      </c>
      <c r="C336" s="1" t="n">
        <v>46197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1123-2026</t>
        </is>
      </c>
      <c r="B337" s="1" t="n">
        <v>46030</v>
      </c>
      <c r="C337" s="1" t="n">
        <v>46197</v>
      </c>
      <c r="D337" t="inlineStr">
        <is>
          <t>ÖREBRO LÄN</t>
        </is>
      </c>
      <c r="E337" t="inlineStr">
        <is>
          <t>ASKERSUND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1125-2026</t>
        </is>
      </c>
      <c r="B338" s="1" t="n">
        <v>46030</v>
      </c>
      <c r="C338" s="1" t="n">
        <v>46197</v>
      </c>
      <c r="D338" t="inlineStr">
        <is>
          <t>ÖREBRO LÄN</t>
        </is>
      </c>
      <c r="E338" t="inlineStr">
        <is>
          <t>ASKERSUND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13902-2024</t>
        </is>
      </c>
      <c r="B339" s="1" t="n">
        <v>45391</v>
      </c>
      <c r="C339" s="1" t="n">
        <v>46197</v>
      </c>
      <c r="D339" t="inlineStr">
        <is>
          <t>ÖREBRO LÄN</t>
        </is>
      </c>
      <c r="E339" t="inlineStr">
        <is>
          <t>ASKERSUND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31506-2023</t>
        </is>
      </c>
      <c r="B340" s="1" t="n">
        <v>45115</v>
      </c>
      <c r="C340" s="1" t="n">
        <v>46197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31509-2023</t>
        </is>
      </c>
      <c r="B341" s="1" t="n">
        <v>45115</v>
      </c>
      <c r="C341" s="1" t="n">
        <v>46197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7730-2022</t>
        </is>
      </c>
      <c r="B342" s="1" t="n">
        <v>44608</v>
      </c>
      <c r="C342" s="1" t="n">
        <v>46197</v>
      </c>
      <c r="D342" t="inlineStr">
        <is>
          <t>ÖREBRO LÄN</t>
        </is>
      </c>
      <c r="E342" t="inlineStr">
        <is>
          <t>ASKERSUND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62584-2021</t>
        </is>
      </c>
      <c r="B343" s="1" t="n">
        <v>44503</v>
      </c>
      <c r="C343" s="1" t="n">
        <v>46197</v>
      </c>
      <c r="D343" t="inlineStr">
        <is>
          <t>ÖREBRO LÄN</t>
        </is>
      </c>
      <c r="E343" t="inlineStr">
        <is>
          <t>ASKERSUND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16633-2026</t>
        </is>
      </c>
      <c r="B344" s="1" t="n">
        <v>46112</v>
      </c>
      <c r="C344" s="1" t="n">
        <v>46197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16602-2026</t>
        </is>
      </c>
      <c r="B345" s="1" t="n">
        <v>46112</v>
      </c>
      <c r="C345" s="1" t="n">
        <v>46197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16595-2026</t>
        </is>
      </c>
      <c r="B346" s="1" t="n">
        <v>46112</v>
      </c>
      <c r="C346" s="1" t="n">
        <v>46197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59560-2022</t>
        </is>
      </c>
      <c r="B347" s="1" t="n">
        <v>44907</v>
      </c>
      <c r="C347" s="1" t="n">
        <v>46197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16638-2026</t>
        </is>
      </c>
      <c r="B348" s="1" t="n">
        <v>46112</v>
      </c>
      <c r="C348" s="1" t="n">
        <v>46197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16639-2026</t>
        </is>
      </c>
      <c r="B349" s="1" t="n">
        <v>46112</v>
      </c>
      <c r="C349" s="1" t="n">
        <v>46197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16618-2026</t>
        </is>
      </c>
      <c r="B350" s="1" t="n">
        <v>46112</v>
      </c>
      <c r="C350" s="1" t="n">
        <v>46197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16629-2026</t>
        </is>
      </c>
      <c r="B351" s="1" t="n">
        <v>46112</v>
      </c>
      <c r="C351" s="1" t="n">
        <v>46197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16615-2026</t>
        </is>
      </c>
      <c r="B352" s="1" t="n">
        <v>46112</v>
      </c>
      <c r="C352" s="1" t="n">
        <v>46197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16630-2026</t>
        </is>
      </c>
      <c r="B353" s="1" t="n">
        <v>46112</v>
      </c>
      <c r="C353" s="1" t="n">
        <v>46197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22769-2026</t>
        </is>
      </c>
      <c r="B354" s="1" t="n">
        <v>46157</v>
      </c>
      <c r="C354" s="1" t="n">
        <v>46197</v>
      </c>
      <c r="D354" t="inlineStr">
        <is>
          <t>ÖREBRO LÄN</t>
        </is>
      </c>
      <c r="E354" t="inlineStr">
        <is>
          <t>ASKERSUND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59587-2023</t>
        </is>
      </c>
      <c r="B355" s="1" t="n">
        <v>45254</v>
      </c>
      <c r="C355" s="1" t="n">
        <v>46197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52434-2024</t>
        </is>
      </c>
      <c r="B356" s="1" t="n">
        <v>45609</v>
      </c>
      <c r="C356" s="1" t="n">
        <v>46197</v>
      </c>
      <c r="D356" t="inlineStr">
        <is>
          <t>ÖREBRO LÄN</t>
        </is>
      </c>
      <c r="E356" t="inlineStr">
        <is>
          <t>ASKERSUND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58143-2021</t>
        </is>
      </c>
      <c r="B357" s="1" t="n">
        <v>44487</v>
      </c>
      <c r="C357" s="1" t="n">
        <v>46197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34512-2024</t>
        </is>
      </c>
      <c r="B358" s="1" t="n">
        <v>45525</v>
      </c>
      <c r="C358" s="1" t="n">
        <v>46197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28955-2023</t>
        </is>
      </c>
      <c r="B359" s="1" t="n">
        <v>45104</v>
      </c>
      <c r="C359" s="1" t="n">
        <v>46197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23568-2026</t>
        </is>
      </c>
      <c r="B360" s="1" t="n">
        <v>46163</v>
      </c>
      <c r="C360" s="1" t="n">
        <v>46197</v>
      </c>
      <c r="D360" t="inlineStr">
        <is>
          <t>ÖREBRO LÄN</t>
        </is>
      </c>
      <c r="E360" t="inlineStr">
        <is>
          <t>ASKERSUND</t>
        </is>
      </c>
      <c r="F360" t="inlineStr">
        <is>
          <t>Övriga Aktiebolag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23448-2026</t>
        </is>
      </c>
      <c r="B361" s="1" t="n">
        <v>46163</v>
      </c>
      <c r="C361" s="1" t="n">
        <v>46197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23579-2026</t>
        </is>
      </c>
      <c r="B362" s="1" t="n">
        <v>46163</v>
      </c>
      <c r="C362" s="1" t="n">
        <v>46197</v>
      </c>
      <c r="D362" t="inlineStr">
        <is>
          <t>ÖREBRO LÄN</t>
        </is>
      </c>
      <c r="E362" t="inlineStr">
        <is>
          <t>ASKERSUND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74186-2021</t>
        </is>
      </c>
      <c r="B363" s="1" t="n">
        <v>44558</v>
      </c>
      <c r="C363" s="1" t="n">
        <v>46197</v>
      </c>
      <c r="D363" t="inlineStr">
        <is>
          <t>ÖREBRO LÄN</t>
        </is>
      </c>
      <c r="E363" t="inlineStr">
        <is>
          <t>ASKERSUND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23807-2023</t>
        </is>
      </c>
      <c r="B364" s="1" t="n">
        <v>45078</v>
      </c>
      <c r="C364" s="1" t="n">
        <v>46197</v>
      </c>
      <c r="D364" t="inlineStr">
        <is>
          <t>ÖREBRO LÄN</t>
        </is>
      </c>
      <c r="E364" t="inlineStr">
        <is>
          <t>ASKERSUND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17503-2026</t>
        </is>
      </c>
      <c r="B365" s="1" t="n">
        <v>46120</v>
      </c>
      <c r="C365" s="1" t="n">
        <v>46197</v>
      </c>
      <c r="D365" t="inlineStr">
        <is>
          <t>ÖREBRO LÄN</t>
        </is>
      </c>
      <c r="E365" t="inlineStr">
        <is>
          <t>ASKERSUND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23558-2026</t>
        </is>
      </c>
      <c r="B366" s="1" t="n">
        <v>46163</v>
      </c>
      <c r="C366" s="1" t="n">
        <v>46197</v>
      </c>
      <c r="D366" t="inlineStr">
        <is>
          <t>ÖREBRO LÄN</t>
        </is>
      </c>
      <c r="E366" t="inlineStr">
        <is>
          <t>ASKERSUND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23577-2026</t>
        </is>
      </c>
      <c r="B367" s="1" t="n">
        <v>46163</v>
      </c>
      <c r="C367" s="1" t="n">
        <v>46197</v>
      </c>
      <c r="D367" t="inlineStr">
        <is>
          <t>ÖREBRO LÄN</t>
        </is>
      </c>
      <c r="E367" t="inlineStr">
        <is>
          <t>ASKERSUND</t>
        </is>
      </c>
      <c r="F367" t="inlineStr">
        <is>
          <t>Övriga Aktiebolag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12567-2023</t>
        </is>
      </c>
      <c r="B368" s="1" t="n">
        <v>45000</v>
      </c>
      <c r="C368" s="1" t="n">
        <v>46197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52072-2024</t>
        </is>
      </c>
      <c r="B369" s="1" t="n">
        <v>45608</v>
      </c>
      <c r="C369" s="1" t="n">
        <v>46197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59865-2021</t>
        </is>
      </c>
      <c r="B370" s="1" t="n">
        <v>44494</v>
      </c>
      <c r="C370" s="1" t="n">
        <v>46197</v>
      </c>
      <c r="D370" t="inlineStr">
        <is>
          <t>ÖREBRO LÄN</t>
        </is>
      </c>
      <c r="E370" t="inlineStr">
        <is>
          <t>ASKERSUND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1437-2024</t>
        </is>
      </c>
      <c r="B371" s="1" t="n">
        <v>45303</v>
      </c>
      <c r="C371" s="1" t="n">
        <v>46197</v>
      </c>
      <c r="D371" t="inlineStr">
        <is>
          <t>ÖREBRO LÄN</t>
        </is>
      </c>
      <c r="E371" t="inlineStr">
        <is>
          <t>ASKERSUND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18474-2026</t>
        </is>
      </c>
      <c r="B372" s="1" t="n">
        <v>46127</v>
      </c>
      <c r="C372" s="1" t="n">
        <v>46197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18232-2026</t>
        </is>
      </c>
      <c r="B373" s="1" t="n">
        <v>46126</v>
      </c>
      <c r="C373" s="1" t="n">
        <v>46197</v>
      </c>
      <c r="D373" t="inlineStr">
        <is>
          <t>ÖREBRO LÄN</t>
        </is>
      </c>
      <c r="E373" t="inlineStr">
        <is>
          <t>ASKERSUND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32214-2024</t>
        </is>
      </c>
      <c r="B374" s="1" t="n">
        <v>45511</v>
      </c>
      <c r="C374" s="1" t="n">
        <v>46197</v>
      </c>
      <c r="D374" t="inlineStr">
        <is>
          <t>ÖREBRO LÄN</t>
        </is>
      </c>
      <c r="E374" t="inlineStr">
        <is>
          <t>ASKERSUND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22198-2026</t>
        </is>
      </c>
      <c r="B375" s="1" t="n">
        <v>46153</v>
      </c>
      <c r="C375" s="1" t="n">
        <v>46197</v>
      </c>
      <c r="D375" t="inlineStr">
        <is>
          <t>ÖREBRO LÄN</t>
        </is>
      </c>
      <c r="E375" t="inlineStr">
        <is>
          <t>ASKERSUND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62103-2024</t>
        </is>
      </c>
      <c r="B376" s="1" t="n">
        <v>45656</v>
      </c>
      <c r="C376" s="1" t="n">
        <v>46197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24577-2026</t>
        </is>
      </c>
      <c r="B377" s="1" t="n">
        <v>46170</v>
      </c>
      <c r="C377" s="1" t="n">
        <v>46197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43830-2024</t>
        </is>
      </c>
      <c r="B378" s="1" t="n">
        <v>45572</v>
      </c>
      <c r="C378" s="1" t="n">
        <v>46197</v>
      </c>
      <c r="D378" t="inlineStr">
        <is>
          <t>ÖREBRO LÄN</t>
        </is>
      </c>
      <c r="E378" t="inlineStr">
        <is>
          <t>ASKERSUND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25005-2026</t>
        </is>
      </c>
      <c r="B379" s="1" t="n">
        <v>46174</v>
      </c>
      <c r="C379" s="1" t="n">
        <v>46197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24738-2026</t>
        </is>
      </c>
      <c r="B380" s="1" t="n">
        <v>46171</v>
      </c>
      <c r="C380" s="1" t="n">
        <v>46197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24505-2026</t>
        </is>
      </c>
      <c r="B381" s="1" t="n">
        <v>46170</v>
      </c>
      <c r="C381" s="1" t="n">
        <v>46197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50578-2022</t>
        </is>
      </c>
      <c r="B382" s="1" t="n">
        <v>44866</v>
      </c>
      <c r="C382" s="1" t="n">
        <v>46197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44764-2023</t>
        </is>
      </c>
      <c r="B383" s="1" t="n">
        <v>45190</v>
      </c>
      <c r="C383" s="1" t="n">
        <v>46197</v>
      </c>
      <c r="D383" t="inlineStr">
        <is>
          <t>ÖREBRO LÄN</t>
        </is>
      </c>
      <c r="E383" t="inlineStr">
        <is>
          <t>ASKERSUND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25017-2026</t>
        </is>
      </c>
      <c r="B384" s="1" t="n">
        <v>46174</v>
      </c>
      <c r="C384" s="1" t="n">
        <v>46197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25019-2026</t>
        </is>
      </c>
      <c r="B385" s="1" t="n">
        <v>46174</v>
      </c>
      <c r="C385" s="1" t="n">
        <v>46197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25038-2026</t>
        </is>
      </c>
      <c r="B386" s="1" t="n">
        <v>46174</v>
      </c>
      <c r="C386" s="1" t="n">
        <v>46197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25035-2026</t>
        </is>
      </c>
      <c r="B387" s="1" t="n">
        <v>46174</v>
      </c>
      <c r="C387" s="1" t="n">
        <v>46197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7704-2022</t>
        </is>
      </c>
      <c r="B388" s="1" t="n">
        <v>44608</v>
      </c>
      <c r="C388" s="1" t="n">
        <v>46197</v>
      </c>
      <c r="D388" t="inlineStr">
        <is>
          <t>ÖREBRO LÄN</t>
        </is>
      </c>
      <c r="E388" t="inlineStr">
        <is>
          <t>ASKERSUND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7713-2022</t>
        </is>
      </c>
      <c r="B389" s="1" t="n">
        <v>44608</v>
      </c>
      <c r="C389" s="1" t="n">
        <v>46197</v>
      </c>
      <c r="D389" t="inlineStr">
        <is>
          <t>ÖREBRO LÄN</t>
        </is>
      </c>
      <c r="E389" t="inlineStr">
        <is>
          <t>ASKERSUND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6821-2023</t>
        </is>
      </c>
      <c r="B390" s="1" t="n">
        <v>44967</v>
      </c>
      <c r="C390" s="1" t="n">
        <v>46197</v>
      </c>
      <c r="D390" t="inlineStr">
        <is>
          <t>ÖREBRO LÄN</t>
        </is>
      </c>
      <c r="E390" t="inlineStr">
        <is>
          <t>ASKERSUND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4467-2024</t>
        </is>
      </c>
      <c r="B391" s="1" t="n">
        <v>45327</v>
      </c>
      <c r="C391" s="1" t="n">
        <v>46197</v>
      </c>
      <c r="D391" t="inlineStr">
        <is>
          <t>ÖREBRO LÄN</t>
        </is>
      </c>
      <c r="E391" t="inlineStr">
        <is>
          <t>ASKERSUND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38626-2023</t>
        </is>
      </c>
      <c r="B392" s="1" t="n">
        <v>45162</v>
      </c>
      <c r="C392" s="1" t="n">
        <v>46197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25297-2026</t>
        </is>
      </c>
      <c r="B393" s="1" t="n">
        <v>46176</v>
      </c>
      <c r="C393" s="1" t="n">
        <v>46197</v>
      </c>
      <c r="D393" t="inlineStr">
        <is>
          <t>ÖREBRO LÄN</t>
        </is>
      </c>
      <c r="E393" t="inlineStr">
        <is>
          <t>ASKERSUND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2282-2022</t>
        </is>
      </c>
      <c r="B394" s="1" t="n">
        <v>44578</v>
      </c>
      <c r="C394" s="1" t="n">
        <v>46197</v>
      </c>
      <c r="D394" t="inlineStr">
        <is>
          <t>ÖREBRO LÄN</t>
        </is>
      </c>
      <c r="E394" t="inlineStr">
        <is>
          <t>ASKERSUND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28819-2023</t>
        </is>
      </c>
      <c r="B395" s="1" t="n">
        <v>45104</v>
      </c>
      <c r="C395" s="1" t="n">
        <v>46197</v>
      </c>
      <c r="D395" t="inlineStr">
        <is>
          <t>ÖREBRO LÄN</t>
        </is>
      </c>
      <c r="E395" t="inlineStr">
        <is>
          <t>ASKERSUND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6828-2022</t>
        </is>
      </c>
      <c r="B396" s="1" t="n">
        <v>44602</v>
      </c>
      <c r="C396" s="1" t="n">
        <v>46197</v>
      </c>
      <c r="D396" t="inlineStr">
        <is>
          <t>ÖREBRO LÄN</t>
        </is>
      </c>
      <c r="E396" t="inlineStr">
        <is>
          <t>ASKERSUND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15625-2022</t>
        </is>
      </c>
      <c r="B397" s="1" t="n">
        <v>44662</v>
      </c>
      <c r="C397" s="1" t="n">
        <v>46197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46619-2023</t>
        </is>
      </c>
      <c r="B398" s="1" t="n">
        <v>45198</v>
      </c>
      <c r="C398" s="1" t="n">
        <v>46197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30351-2025</t>
        </is>
      </c>
      <c r="B399" s="1" t="n">
        <v>45827</v>
      </c>
      <c r="C399" s="1" t="n">
        <v>46197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19997-2022</t>
        </is>
      </c>
      <c r="B400" s="1" t="n">
        <v>44697</v>
      </c>
      <c r="C400" s="1" t="n">
        <v>46197</v>
      </c>
      <c r="D400" t="inlineStr">
        <is>
          <t>ÖREBRO LÄN</t>
        </is>
      </c>
      <c r="E400" t="inlineStr">
        <is>
          <t>ASKERSUND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7371-2022</t>
        </is>
      </c>
      <c r="B401" s="1" t="n">
        <v>44606</v>
      </c>
      <c r="C401" s="1" t="n">
        <v>46197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12735-2022</t>
        </is>
      </c>
      <c r="B402" s="1" t="n">
        <v>44641</v>
      </c>
      <c r="C402" s="1" t="n">
        <v>46197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42281-2025</t>
        </is>
      </c>
      <c r="B403" s="1" t="n">
        <v>45904</v>
      </c>
      <c r="C403" s="1" t="n">
        <v>46197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50599-2023</t>
        </is>
      </c>
      <c r="B404" s="1" t="n">
        <v>45217</v>
      </c>
      <c r="C404" s="1" t="n">
        <v>46197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5228-2023</t>
        </is>
      </c>
      <c r="B405" s="1" t="n">
        <v>44959</v>
      </c>
      <c r="C405" s="1" t="n">
        <v>46197</v>
      </c>
      <c r="D405" t="inlineStr">
        <is>
          <t>ÖREBRO LÄN</t>
        </is>
      </c>
      <c r="E405" t="inlineStr">
        <is>
          <t>ASKERSUND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22802-2023</t>
        </is>
      </c>
      <c r="B406" s="1" t="n">
        <v>45072</v>
      </c>
      <c r="C406" s="1" t="n">
        <v>46197</v>
      </c>
      <c r="D406" t="inlineStr">
        <is>
          <t>ÖREBRO LÄN</t>
        </is>
      </c>
      <c r="E406" t="inlineStr">
        <is>
          <t>ASKERSUND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22804-2023</t>
        </is>
      </c>
      <c r="B407" s="1" t="n">
        <v>45072</v>
      </c>
      <c r="C407" s="1" t="n">
        <v>46197</v>
      </c>
      <c r="D407" t="inlineStr">
        <is>
          <t>ÖREBRO LÄN</t>
        </is>
      </c>
      <c r="E407" t="inlineStr">
        <is>
          <t>ASKERSUND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49111-2025</t>
        </is>
      </c>
      <c r="B408" s="1" t="n">
        <v>45937</v>
      </c>
      <c r="C408" s="1" t="n">
        <v>46197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45210-2023</t>
        </is>
      </c>
      <c r="B409" s="1" t="n">
        <v>45191</v>
      </c>
      <c r="C409" s="1" t="n">
        <v>46197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26138-2026</t>
        </is>
      </c>
      <c r="B410" s="1" t="n">
        <v>46181</v>
      </c>
      <c r="C410" s="1" t="n">
        <v>46197</v>
      </c>
      <c r="D410" t="inlineStr">
        <is>
          <t>ÖREBRO LÄN</t>
        </is>
      </c>
      <c r="E410" t="inlineStr">
        <is>
          <t>ASKERSUND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38359-2022</t>
        </is>
      </c>
      <c r="B411" s="1" t="n">
        <v>44812</v>
      </c>
      <c r="C411" s="1" t="n">
        <v>46197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10076-2024</t>
        </is>
      </c>
      <c r="B412" s="1" t="n">
        <v>45364</v>
      </c>
      <c r="C412" s="1" t="n">
        <v>46197</v>
      </c>
      <c r="D412" t="inlineStr">
        <is>
          <t>ÖREBRO LÄN</t>
        </is>
      </c>
      <c r="E412" t="inlineStr">
        <is>
          <t>ASKERSUND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38572-2023</t>
        </is>
      </c>
      <c r="B413" s="1" t="n">
        <v>45162</v>
      </c>
      <c r="C413" s="1" t="n">
        <v>46197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26127-2026</t>
        </is>
      </c>
      <c r="B414" s="1" t="n">
        <v>46181</v>
      </c>
      <c r="C414" s="1" t="n">
        <v>46197</v>
      </c>
      <c r="D414" t="inlineStr">
        <is>
          <t>ÖREBRO LÄN</t>
        </is>
      </c>
      <c r="E414" t="inlineStr">
        <is>
          <t>ASKERSUND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46616-2023</t>
        </is>
      </c>
      <c r="B415" s="1" t="n">
        <v>45198</v>
      </c>
      <c r="C415" s="1" t="n">
        <v>46197</v>
      </c>
      <c r="D415" t="inlineStr">
        <is>
          <t>ÖREBRO LÄN</t>
        </is>
      </c>
      <c r="E415" t="inlineStr">
        <is>
          <t>ASKERSUND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26205-2026</t>
        </is>
      </c>
      <c r="B416" s="1" t="n">
        <v>46182</v>
      </c>
      <c r="C416" s="1" t="n">
        <v>46197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56476-2025</t>
        </is>
      </c>
      <c r="B417" s="1" t="n">
        <v>45975</v>
      </c>
      <c r="C417" s="1" t="n">
        <v>46197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3883-2024</t>
        </is>
      </c>
      <c r="B418" s="1" t="n">
        <v>45322</v>
      </c>
      <c r="C418" s="1" t="n">
        <v>46197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24078-2024</t>
        </is>
      </c>
      <c r="B419" s="1" t="n">
        <v>45456</v>
      </c>
      <c r="C419" s="1" t="n">
        <v>46197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54162-2025</t>
        </is>
      </c>
      <c r="B420" s="1" t="n">
        <v>45964</v>
      </c>
      <c r="C420" s="1" t="n">
        <v>46197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26132-2026</t>
        </is>
      </c>
      <c r="B421" s="1" t="n">
        <v>46181</v>
      </c>
      <c r="C421" s="1" t="n">
        <v>46197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31664-2025</t>
        </is>
      </c>
      <c r="B422" s="1" t="n">
        <v>45834</v>
      </c>
      <c r="C422" s="1" t="n">
        <v>46197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37404-2022</t>
        </is>
      </c>
      <c r="B423" s="1" t="n">
        <v>44808</v>
      </c>
      <c r="C423" s="1" t="n">
        <v>46197</v>
      </c>
      <c r="D423" t="inlineStr">
        <is>
          <t>ÖREBRO LÄN</t>
        </is>
      </c>
      <c r="E423" t="inlineStr">
        <is>
          <t>ASKERSUND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1119-2026</t>
        </is>
      </c>
      <c r="B424" s="1" t="n">
        <v>46030</v>
      </c>
      <c r="C424" s="1" t="n">
        <v>46197</v>
      </c>
      <c r="D424" t="inlineStr">
        <is>
          <t>ÖREBRO LÄN</t>
        </is>
      </c>
      <c r="E424" t="inlineStr">
        <is>
          <t>ASKERSUND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59538-2023</t>
        </is>
      </c>
      <c r="B425" s="1" t="n">
        <v>45254</v>
      </c>
      <c r="C425" s="1" t="n">
        <v>46197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48746-2023</t>
        </is>
      </c>
      <c r="B426" s="1" t="n">
        <v>45208</v>
      </c>
      <c r="C426" s="1" t="n">
        <v>46197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36484-2022</t>
        </is>
      </c>
      <c r="B427" s="1" t="n">
        <v>44804</v>
      </c>
      <c r="C427" s="1" t="n">
        <v>46197</v>
      </c>
      <c r="D427" t="inlineStr">
        <is>
          <t>ÖREBRO LÄN</t>
        </is>
      </c>
      <c r="E427" t="inlineStr">
        <is>
          <t>ASKERSUND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11836-2025</t>
        </is>
      </c>
      <c r="B428" s="1" t="n">
        <v>45728</v>
      </c>
      <c r="C428" s="1" t="n">
        <v>46197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44161-2023</t>
        </is>
      </c>
      <c r="B429" s="1" t="n">
        <v>45188</v>
      </c>
      <c r="C429" s="1" t="n">
        <v>46197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48389-2025</t>
        </is>
      </c>
      <c r="B430" s="1" t="n">
        <v>45933</v>
      </c>
      <c r="C430" s="1" t="n">
        <v>46197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1813-2024</t>
        </is>
      </c>
      <c r="B431" s="1" t="n">
        <v>45307</v>
      </c>
      <c r="C431" s="1" t="n">
        <v>46197</v>
      </c>
      <c r="D431" t="inlineStr">
        <is>
          <t>ÖREBRO LÄN</t>
        </is>
      </c>
      <c r="E431" t="inlineStr">
        <is>
          <t>ASKERSUND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16642-2023</t>
        </is>
      </c>
      <c r="B432" s="1" t="n">
        <v>45030</v>
      </c>
      <c r="C432" s="1" t="n">
        <v>46197</v>
      </c>
      <c r="D432" t="inlineStr">
        <is>
          <t>ÖREBRO LÄN</t>
        </is>
      </c>
      <c r="E432" t="inlineStr">
        <is>
          <t>ASKERSUND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65068-2023</t>
        </is>
      </c>
      <c r="B433" s="1" t="n">
        <v>45285</v>
      </c>
      <c r="C433" s="1" t="n">
        <v>46197</v>
      </c>
      <c r="D433" t="inlineStr">
        <is>
          <t>ÖREBRO LÄN</t>
        </is>
      </c>
      <c r="E433" t="inlineStr">
        <is>
          <t>ASKERSUND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9327-2025</t>
        </is>
      </c>
      <c r="B434" s="1" t="n">
        <v>45714</v>
      </c>
      <c r="C434" s="1" t="n">
        <v>46197</v>
      </c>
      <c r="D434" t="inlineStr">
        <is>
          <t>ÖREBRO LÄN</t>
        </is>
      </c>
      <c r="E434" t="inlineStr">
        <is>
          <t>ASKERSUND</t>
        </is>
      </c>
      <c r="G434" t="n">
        <v>17.4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8047-2025</t>
        </is>
      </c>
      <c r="B435" s="1" t="n">
        <v>45707</v>
      </c>
      <c r="C435" s="1" t="n">
        <v>46197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25972-2022</t>
        </is>
      </c>
      <c r="B436" s="1" t="n">
        <v>44734</v>
      </c>
      <c r="C436" s="1" t="n">
        <v>46197</v>
      </c>
      <c r="D436" t="inlineStr">
        <is>
          <t>ÖREBRO LÄN</t>
        </is>
      </c>
      <c r="E436" t="inlineStr">
        <is>
          <t>ASKERSUND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20918-2026</t>
        </is>
      </c>
      <c r="B437" s="1" t="n">
        <v>46142</v>
      </c>
      <c r="C437" s="1" t="n">
        <v>46197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22814-2024</t>
        </is>
      </c>
      <c r="B438" s="1" t="n">
        <v>45448</v>
      </c>
      <c r="C438" s="1" t="n">
        <v>46197</v>
      </c>
      <c r="D438" t="inlineStr">
        <is>
          <t>ÖREBRO LÄN</t>
        </is>
      </c>
      <c r="E438" t="inlineStr">
        <is>
          <t>ASKERSUND</t>
        </is>
      </c>
      <c r="F438" t="inlineStr">
        <is>
          <t>Övriga Aktiebolag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20893-2026</t>
        </is>
      </c>
      <c r="B439" s="1" t="n">
        <v>46142</v>
      </c>
      <c r="C439" s="1" t="n">
        <v>46197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18672-2022</t>
        </is>
      </c>
      <c r="B440" s="1" t="n">
        <v>44687</v>
      </c>
      <c r="C440" s="1" t="n">
        <v>46197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20916-2026</t>
        </is>
      </c>
      <c r="B441" s="1" t="n">
        <v>46142</v>
      </c>
      <c r="C441" s="1" t="n">
        <v>46197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20902-2026</t>
        </is>
      </c>
      <c r="B442" s="1" t="n">
        <v>46142</v>
      </c>
      <c r="C442" s="1" t="n">
        <v>46197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27218-2024</t>
        </is>
      </c>
      <c r="B443" s="1" t="n">
        <v>45471</v>
      </c>
      <c r="C443" s="1" t="n">
        <v>46197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27258-2026</t>
        </is>
      </c>
      <c r="B444" s="1" t="n">
        <v>46184</v>
      </c>
      <c r="C444" s="1" t="n">
        <v>46197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27027-2026</t>
        </is>
      </c>
      <c r="B445" s="1" t="n">
        <v>46185</v>
      </c>
      <c r="C445" s="1" t="n">
        <v>46197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27031-2026</t>
        </is>
      </c>
      <c r="B446" s="1" t="n">
        <v>46185</v>
      </c>
      <c r="C446" s="1" t="n">
        <v>46197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27021-2026</t>
        </is>
      </c>
      <c r="B447" s="1" t="n">
        <v>46185</v>
      </c>
      <c r="C447" s="1" t="n">
        <v>46197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13780-2023</t>
        </is>
      </c>
      <c r="B448" s="1" t="n">
        <v>45007</v>
      </c>
      <c r="C448" s="1" t="n">
        <v>46197</v>
      </c>
      <c r="D448" t="inlineStr">
        <is>
          <t>ÖREBRO LÄN</t>
        </is>
      </c>
      <c r="E448" t="inlineStr">
        <is>
          <t>ASKERSUND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25994-2026</t>
        </is>
      </c>
      <c r="B449" s="1" t="n">
        <v>46181</v>
      </c>
      <c r="C449" s="1" t="n">
        <v>46197</v>
      </c>
      <c r="D449" t="inlineStr">
        <is>
          <t>ÖREBRO LÄN</t>
        </is>
      </c>
      <c r="E449" t="inlineStr">
        <is>
          <t>ASKERSUND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1004-2024</t>
        </is>
      </c>
      <c r="B450" s="1" t="n">
        <v>45301</v>
      </c>
      <c r="C450" s="1" t="n">
        <v>46197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21448-2024</t>
        </is>
      </c>
      <c r="B451" s="1" t="n">
        <v>45441</v>
      </c>
      <c r="C451" s="1" t="n">
        <v>46197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27241-2026</t>
        </is>
      </c>
      <c r="B452" s="1" t="n">
        <v>46184</v>
      </c>
      <c r="C452" s="1" t="n">
        <v>46197</v>
      </c>
      <c r="D452" t="inlineStr">
        <is>
          <t>ÖREBRO LÄN</t>
        </is>
      </c>
      <c r="E452" t="inlineStr">
        <is>
          <t>ASKERSUND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56033-2022</t>
        </is>
      </c>
      <c r="B453" s="1" t="n">
        <v>44889</v>
      </c>
      <c r="C453" s="1" t="n">
        <v>46197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27515-2026</t>
        </is>
      </c>
      <c r="B454" s="1" t="n">
        <v>46189</v>
      </c>
      <c r="C454" s="1" t="n">
        <v>46197</v>
      </c>
      <c r="D454" t="inlineStr">
        <is>
          <t>ÖREBRO LÄN</t>
        </is>
      </c>
      <c r="E454" t="inlineStr">
        <is>
          <t>ASKERSUND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27516-2026</t>
        </is>
      </c>
      <c r="B455" s="1" t="n">
        <v>46189</v>
      </c>
      <c r="C455" s="1" t="n">
        <v>46197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4474-2024</t>
        </is>
      </c>
      <c r="B456" s="1" t="n">
        <v>45327</v>
      </c>
      <c r="C456" s="1" t="n">
        <v>46197</v>
      </c>
      <c r="D456" t="inlineStr">
        <is>
          <t>ÖREBRO LÄN</t>
        </is>
      </c>
      <c r="E456" t="inlineStr">
        <is>
          <t>ASKERSUND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27512-2026</t>
        </is>
      </c>
      <c r="B457" s="1" t="n">
        <v>46189</v>
      </c>
      <c r="C457" s="1" t="n">
        <v>46197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31973-2023</t>
        </is>
      </c>
      <c r="B458" s="1" t="n">
        <v>45107</v>
      </c>
      <c r="C458" s="1" t="n">
        <v>46197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50048-2022</t>
        </is>
      </c>
      <c r="B459" s="1" t="n">
        <v>44865</v>
      </c>
      <c r="C459" s="1" t="n">
        <v>46197</v>
      </c>
      <c r="D459" t="inlineStr">
        <is>
          <t>ÖREBRO LÄN</t>
        </is>
      </c>
      <c r="E459" t="inlineStr">
        <is>
          <t>ASKERSUND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62107-2024</t>
        </is>
      </c>
      <c r="B460" s="1" t="n">
        <v>45656</v>
      </c>
      <c r="C460" s="1" t="n">
        <v>46197</v>
      </c>
      <c r="D460" t="inlineStr">
        <is>
          <t>ÖREBRO LÄN</t>
        </is>
      </c>
      <c r="E460" t="inlineStr">
        <is>
          <t>ASKERSUND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62108-2024</t>
        </is>
      </c>
      <c r="B461" s="1" t="n">
        <v>45656</v>
      </c>
      <c r="C461" s="1" t="n">
        <v>46197</v>
      </c>
      <c r="D461" t="inlineStr">
        <is>
          <t>ÖREBRO LÄN</t>
        </is>
      </c>
      <c r="E461" t="inlineStr">
        <is>
          <t>ASKERSUND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23418-2024</t>
        </is>
      </c>
      <c r="B462" s="1" t="n">
        <v>45453</v>
      </c>
      <c r="C462" s="1" t="n">
        <v>46197</v>
      </c>
      <c r="D462" t="inlineStr">
        <is>
          <t>ÖREBRO LÄN</t>
        </is>
      </c>
      <c r="E462" t="inlineStr">
        <is>
          <t>ASKERSUND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23420-2024</t>
        </is>
      </c>
      <c r="B463" s="1" t="n">
        <v>45453</v>
      </c>
      <c r="C463" s="1" t="n">
        <v>46197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25963-2022</t>
        </is>
      </c>
      <c r="B464" s="1" t="n">
        <v>44734</v>
      </c>
      <c r="C464" s="1" t="n">
        <v>46197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34501-2024</t>
        </is>
      </c>
      <c r="B465" s="1" t="n">
        <v>45525</v>
      </c>
      <c r="C465" s="1" t="n">
        <v>46197</v>
      </c>
      <c r="D465" t="inlineStr">
        <is>
          <t>ÖREBRO LÄN</t>
        </is>
      </c>
      <c r="E465" t="inlineStr">
        <is>
          <t>ASKERSUND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54153-2025</t>
        </is>
      </c>
      <c r="B466" s="1" t="n">
        <v>45964</v>
      </c>
      <c r="C466" s="1" t="n">
        <v>46197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28300-2026</t>
        </is>
      </c>
      <c r="B467" s="1" t="n">
        <v>46196</v>
      </c>
      <c r="C467" s="1" t="n">
        <v>46197</v>
      </c>
      <c r="D467" t="inlineStr">
        <is>
          <t>ÖREBRO LÄN</t>
        </is>
      </c>
      <c r="E467" t="inlineStr">
        <is>
          <t>ASKERSUND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28301-2026</t>
        </is>
      </c>
      <c r="B468" s="1" t="n">
        <v>46196</v>
      </c>
      <c r="C468" s="1" t="n">
        <v>46197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22317-2026</t>
        </is>
      </c>
      <c r="B469" s="1" t="n">
        <v>46154</v>
      </c>
      <c r="C469" s="1" t="n">
        <v>46197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1359-2022</t>
        </is>
      </c>
      <c r="B470" s="1" t="n">
        <v>44573</v>
      </c>
      <c r="C470" s="1" t="n">
        <v>46197</v>
      </c>
      <c r="D470" t="inlineStr">
        <is>
          <t>ÖREBRO LÄN</t>
        </is>
      </c>
      <c r="E470" t="inlineStr">
        <is>
          <t>ASKERSUND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28302-2026</t>
        </is>
      </c>
      <c r="B471" s="1" t="n">
        <v>46196</v>
      </c>
      <c r="C471" s="1" t="n">
        <v>46197</v>
      </c>
      <c r="D471" t="inlineStr">
        <is>
          <t>ÖREBRO LÄN</t>
        </is>
      </c>
      <c r="E471" t="inlineStr">
        <is>
          <t>ASKERSUND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8298-2022</t>
        </is>
      </c>
      <c r="B472" s="1" t="n">
        <v>44610</v>
      </c>
      <c r="C472" s="1" t="n">
        <v>46197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60141-2022</t>
        </is>
      </c>
      <c r="B473" s="1" t="n">
        <v>44909</v>
      </c>
      <c r="C473" s="1" t="n">
        <v>46197</v>
      </c>
      <c r="D473" t="inlineStr">
        <is>
          <t>ÖREBRO LÄN</t>
        </is>
      </c>
      <c r="E473" t="inlineStr">
        <is>
          <t>ASKERSUND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195-2023</t>
        </is>
      </c>
      <c r="B474" s="1" t="n">
        <v>44928</v>
      </c>
      <c r="C474" s="1" t="n">
        <v>46197</v>
      </c>
      <c r="D474" t="inlineStr">
        <is>
          <t>ÖREBRO LÄN</t>
        </is>
      </c>
      <c r="E474" t="inlineStr">
        <is>
          <t>ASKERSUND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60959-2021</t>
        </is>
      </c>
      <c r="B475" s="1" t="n">
        <v>44497</v>
      </c>
      <c r="C475" s="1" t="n">
        <v>46197</v>
      </c>
      <c r="D475" t="inlineStr">
        <is>
          <t>ÖREBRO LÄN</t>
        </is>
      </c>
      <c r="E475" t="inlineStr">
        <is>
          <t>ASKERSUND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26415-2024</t>
        </is>
      </c>
      <c r="B476" s="1" t="n">
        <v>45469</v>
      </c>
      <c r="C476" s="1" t="n">
        <v>46197</v>
      </c>
      <c r="D476" t="inlineStr">
        <is>
          <t>ÖREBRO LÄN</t>
        </is>
      </c>
      <c r="E476" t="inlineStr">
        <is>
          <t>ASKERSUND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48860-2022</t>
        </is>
      </c>
      <c r="B477" s="1" t="n">
        <v>44859</v>
      </c>
      <c r="C477" s="1" t="n">
        <v>46197</v>
      </c>
      <c r="D477" t="inlineStr">
        <is>
          <t>ÖREBRO LÄN</t>
        </is>
      </c>
      <c r="E477" t="inlineStr">
        <is>
          <t>ASKERSUND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25808-2022</t>
        </is>
      </c>
      <c r="B478" s="1" t="n">
        <v>44733</v>
      </c>
      <c r="C478" s="1" t="n">
        <v>46197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57645-2023</t>
        </is>
      </c>
      <c r="B479" s="1" t="n">
        <v>45246</v>
      </c>
      <c r="C479" s="1" t="n">
        <v>46197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43471-2023</t>
        </is>
      </c>
      <c r="B480" s="1" t="n">
        <v>45184</v>
      </c>
      <c r="C480" s="1" t="n">
        <v>46197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64614-2021</t>
        </is>
      </c>
      <c r="B481" s="1" t="n">
        <v>44511</v>
      </c>
      <c r="C481" s="1" t="n">
        <v>46197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58139-2021</t>
        </is>
      </c>
      <c r="B482" s="1" t="n">
        <v>44487</v>
      </c>
      <c r="C482" s="1" t="n">
        <v>46197</v>
      </c>
      <c r="D482" t="inlineStr">
        <is>
          <t>ÖREBRO LÄN</t>
        </is>
      </c>
      <c r="E482" t="inlineStr">
        <is>
          <t>ASKERSUND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7256-2023</t>
        </is>
      </c>
      <c r="B483" s="1" t="n">
        <v>44970</v>
      </c>
      <c r="C483" s="1" t="n">
        <v>46197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44528-2021</t>
        </is>
      </c>
      <c r="B484" s="1" t="n">
        <v>44435</v>
      </c>
      <c r="C484" s="1" t="n">
        <v>46197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50101-2024</t>
        </is>
      </c>
      <c r="B485" s="1" t="n">
        <v>45599</v>
      </c>
      <c r="C485" s="1" t="n">
        <v>46197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7374-2022</t>
        </is>
      </c>
      <c r="B486" s="1" t="n">
        <v>44606</v>
      </c>
      <c r="C486" s="1" t="n">
        <v>46197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2991-2023</t>
        </is>
      </c>
      <c r="B487" s="1" t="n">
        <v>44945</v>
      </c>
      <c r="C487" s="1" t="n">
        <v>46197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11968-2023</t>
        </is>
      </c>
      <c r="B488" s="1" t="n">
        <v>44995</v>
      </c>
      <c r="C488" s="1" t="n">
        <v>46197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17399-2023</t>
        </is>
      </c>
      <c r="B489" s="1" t="n">
        <v>45035</v>
      </c>
      <c r="C489" s="1" t="n">
        <v>46197</v>
      </c>
      <c r="D489" t="inlineStr">
        <is>
          <t>ÖREBRO LÄN</t>
        </is>
      </c>
      <c r="E489" t="inlineStr">
        <is>
          <t>ASKERSUND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14499-2022</t>
        </is>
      </c>
      <c r="B490" s="1" t="n">
        <v>44655</v>
      </c>
      <c r="C490" s="1" t="n">
        <v>46197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11637-2024</t>
        </is>
      </c>
      <c r="B491" s="1" t="n">
        <v>45373</v>
      </c>
      <c r="C491" s="1" t="n">
        <v>46197</v>
      </c>
      <c r="D491" t="inlineStr">
        <is>
          <t>ÖREBRO LÄN</t>
        </is>
      </c>
      <c r="E491" t="inlineStr">
        <is>
          <t>ASKERSUND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45339-2022</t>
        </is>
      </c>
      <c r="B492" s="1" t="n">
        <v>44844</v>
      </c>
      <c r="C492" s="1" t="n">
        <v>46197</v>
      </c>
      <c r="D492" t="inlineStr">
        <is>
          <t>ÖREBRO LÄN</t>
        </is>
      </c>
      <c r="E492" t="inlineStr">
        <is>
          <t>ASKERSUND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31120-2024</t>
        </is>
      </c>
      <c r="B493" s="1" t="n">
        <v>45502</v>
      </c>
      <c r="C493" s="1" t="n">
        <v>46197</v>
      </c>
      <c r="D493" t="inlineStr">
        <is>
          <t>ÖREBRO LÄN</t>
        </is>
      </c>
      <c r="E493" t="inlineStr">
        <is>
          <t>ASKERSUND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43139-2021</t>
        </is>
      </c>
      <c r="B494" s="1" t="n">
        <v>44431</v>
      </c>
      <c r="C494" s="1" t="n">
        <v>46197</v>
      </c>
      <c r="D494" t="inlineStr">
        <is>
          <t>ÖREBRO LÄN</t>
        </is>
      </c>
      <c r="E494" t="inlineStr">
        <is>
          <t>ASKERSUND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51239-2021</t>
        </is>
      </c>
      <c r="B495" s="1" t="n">
        <v>44461</v>
      </c>
      <c r="C495" s="1" t="n">
        <v>46197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21055-2024</t>
        </is>
      </c>
      <c r="B496" s="1" t="n">
        <v>45439</v>
      </c>
      <c r="C496" s="1" t="n">
        <v>46197</v>
      </c>
      <c r="D496" t="inlineStr">
        <is>
          <t>ÖREBRO LÄN</t>
        </is>
      </c>
      <c r="E496" t="inlineStr">
        <is>
          <t>ASKERSUND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33151-2021</t>
        </is>
      </c>
      <c r="B497" s="1" t="n">
        <v>44376</v>
      </c>
      <c r="C497" s="1" t="n">
        <v>46197</v>
      </c>
      <c r="D497" t="inlineStr">
        <is>
          <t>ÖREBRO LÄN</t>
        </is>
      </c>
      <c r="E497" t="inlineStr">
        <is>
          <t>ASKERSUND</t>
        </is>
      </c>
      <c r="G497" t="n">
        <v>11.3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38624-2023</t>
        </is>
      </c>
      <c r="B498" s="1" t="n">
        <v>45162</v>
      </c>
      <c r="C498" s="1" t="n">
        <v>46197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41095-2021</t>
        </is>
      </c>
      <c r="B499" s="1" t="n">
        <v>44422</v>
      </c>
      <c r="C499" s="1" t="n">
        <v>46197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30610-2024</t>
        </is>
      </c>
      <c r="B500" s="1" t="n">
        <v>45495</v>
      </c>
      <c r="C500" s="1" t="n">
        <v>46197</v>
      </c>
      <c r="D500" t="inlineStr">
        <is>
          <t>ÖREBRO LÄN</t>
        </is>
      </c>
      <c r="E500" t="inlineStr">
        <is>
          <t>ASKERSUND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1345-2024</t>
        </is>
      </c>
      <c r="B501" s="1" t="n">
        <v>45303</v>
      </c>
      <c r="C501" s="1" t="n">
        <v>46197</v>
      </c>
      <c r="D501" t="inlineStr">
        <is>
          <t>ÖREBRO LÄN</t>
        </is>
      </c>
      <c r="E501" t="inlineStr">
        <is>
          <t>ASKERSUND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11625-2022</t>
        </is>
      </c>
      <c r="B502" s="1" t="n">
        <v>44631</v>
      </c>
      <c r="C502" s="1" t="n">
        <v>46197</v>
      </c>
      <c r="D502" t="inlineStr">
        <is>
          <t>ÖREBRO LÄN</t>
        </is>
      </c>
      <c r="E502" t="inlineStr">
        <is>
          <t>ASKERSUND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52289-2023</t>
        </is>
      </c>
      <c r="B503" s="1" t="n">
        <v>45224</v>
      </c>
      <c r="C503" s="1" t="n">
        <v>46197</v>
      </c>
      <c r="D503" t="inlineStr">
        <is>
          <t>ÖREBRO LÄN</t>
        </is>
      </c>
      <c r="E503" t="inlineStr">
        <is>
          <t>ASKERSUND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25528-2023</t>
        </is>
      </c>
      <c r="B504" s="1" t="n">
        <v>45089</v>
      </c>
      <c r="C504" s="1" t="n">
        <v>46197</v>
      </c>
      <c r="D504" t="inlineStr">
        <is>
          <t>ÖREBRO LÄN</t>
        </is>
      </c>
      <c r="E504" t="inlineStr">
        <is>
          <t>ASKERSUND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61517-2021</t>
        </is>
      </c>
      <c r="B505" s="1" t="n">
        <v>44501</v>
      </c>
      <c r="C505" s="1" t="n">
        <v>46197</v>
      </c>
      <c r="D505" t="inlineStr">
        <is>
          <t>ÖREBRO LÄN</t>
        </is>
      </c>
      <c r="E505" t="inlineStr">
        <is>
          <t>ASKERSUND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28897-2023</t>
        </is>
      </c>
      <c r="B506" s="1" t="n">
        <v>45104</v>
      </c>
      <c r="C506" s="1" t="n">
        <v>46197</v>
      </c>
      <c r="D506" t="inlineStr">
        <is>
          <t>ÖREBRO LÄN</t>
        </is>
      </c>
      <c r="E506" t="inlineStr">
        <is>
          <t>ASKERSUND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918-2025</t>
        </is>
      </c>
      <c r="B507" s="1" t="n">
        <v>45664</v>
      </c>
      <c r="C507" s="1" t="n">
        <v>46197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920-2025</t>
        </is>
      </c>
      <c r="B508" s="1" t="n">
        <v>45664</v>
      </c>
      <c r="C508" s="1" t="n">
        <v>46197</v>
      </c>
      <c r="D508" t="inlineStr">
        <is>
          <t>ÖREBRO LÄN</t>
        </is>
      </c>
      <c r="E508" t="inlineStr">
        <is>
          <t>ASKERSUND</t>
        </is>
      </c>
      <c r="G508" t="n">
        <v>12.9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20184-2024</t>
        </is>
      </c>
      <c r="B509" s="1" t="n">
        <v>45434</v>
      </c>
      <c r="C509" s="1" t="n">
        <v>46197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9437-2025</t>
        </is>
      </c>
      <c r="B510" s="1" t="n">
        <v>45715</v>
      </c>
      <c r="C510" s="1" t="n">
        <v>46197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916-2025</t>
        </is>
      </c>
      <c r="B511" s="1" t="n">
        <v>45664</v>
      </c>
      <c r="C511" s="1" t="n">
        <v>46197</v>
      </c>
      <c r="D511" t="inlineStr">
        <is>
          <t>ÖREBRO LÄN</t>
        </is>
      </c>
      <c r="E511" t="inlineStr">
        <is>
          <t>ASKERSUND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8367-2025</t>
        </is>
      </c>
      <c r="B512" s="1" t="n">
        <v>45708</v>
      </c>
      <c r="C512" s="1" t="n">
        <v>46197</v>
      </c>
      <c r="D512" t="inlineStr">
        <is>
          <t>ÖREBRO LÄN</t>
        </is>
      </c>
      <c r="E512" t="inlineStr">
        <is>
          <t>ASKERSUND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27428-2024</t>
        </is>
      </c>
      <c r="B513" s="1" t="n">
        <v>45473</v>
      </c>
      <c r="C513" s="1" t="n">
        <v>46197</v>
      </c>
      <c r="D513" t="inlineStr">
        <is>
          <t>ÖREBRO LÄN</t>
        </is>
      </c>
      <c r="E513" t="inlineStr">
        <is>
          <t>ASKERSUND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59349-2023</t>
        </is>
      </c>
      <c r="B514" s="1" t="n">
        <v>45253</v>
      </c>
      <c r="C514" s="1" t="n">
        <v>46197</v>
      </c>
      <c r="D514" t="inlineStr">
        <is>
          <t>ÖREBRO LÄN</t>
        </is>
      </c>
      <c r="E514" t="inlineStr">
        <is>
          <t>ASKERSUND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12421-2023</t>
        </is>
      </c>
      <c r="B515" s="1" t="n">
        <v>44999</v>
      </c>
      <c r="C515" s="1" t="n">
        <v>46197</v>
      </c>
      <c r="D515" t="inlineStr">
        <is>
          <t>ÖREBRO LÄN</t>
        </is>
      </c>
      <c r="E515" t="inlineStr">
        <is>
          <t>ASKERSUND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21048-2025</t>
        </is>
      </c>
      <c r="B516" s="1" t="n">
        <v>45777</v>
      </c>
      <c r="C516" s="1" t="n">
        <v>46197</v>
      </c>
      <c r="D516" t="inlineStr">
        <is>
          <t>ÖREBRO LÄN</t>
        </is>
      </c>
      <c r="E516" t="inlineStr">
        <is>
          <t>ASKERSUND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1341-2024</t>
        </is>
      </c>
      <c r="B517" s="1" t="n">
        <v>45303</v>
      </c>
      <c r="C517" s="1" t="n">
        <v>46197</v>
      </c>
      <c r="D517" t="inlineStr">
        <is>
          <t>ÖREBRO LÄN</t>
        </is>
      </c>
      <c r="E517" t="inlineStr">
        <is>
          <t>ASKERSUND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41073-2024</t>
        </is>
      </c>
      <c r="B518" s="1" t="n">
        <v>45559</v>
      </c>
      <c r="C518" s="1" t="n">
        <v>46197</v>
      </c>
      <c r="D518" t="inlineStr">
        <is>
          <t>ÖREBRO LÄN</t>
        </is>
      </c>
      <c r="E518" t="inlineStr">
        <is>
          <t>ASKERSUND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50416-2024</t>
        </is>
      </c>
      <c r="B519" s="1" t="n">
        <v>45601</v>
      </c>
      <c r="C519" s="1" t="n">
        <v>46197</v>
      </c>
      <c r="D519" t="inlineStr">
        <is>
          <t>ÖREBRO LÄN</t>
        </is>
      </c>
      <c r="E519" t="inlineStr">
        <is>
          <t>ASKERSUND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26752-2024</t>
        </is>
      </c>
      <c r="B520" s="1" t="n">
        <v>45470</v>
      </c>
      <c r="C520" s="1" t="n">
        <v>46197</v>
      </c>
      <c r="D520" t="inlineStr">
        <is>
          <t>ÖREBRO LÄN</t>
        </is>
      </c>
      <c r="E520" t="inlineStr">
        <is>
          <t>ASKERSUND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1412-2025</t>
        </is>
      </c>
      <c r="B521" s="1" t="n">
        <v>45667</v>
      </c>
      <c r="C521" s="1" t="n">
        <v>46197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16292-2024</t>
        </is>
      </c>
      <c r="B522" s="1" t="n">
        <v>45407</v>
      </c>
      <c r="C522" s="1" t="n">
        <v>46197</v>
      </c>
      <c r="D522" t="inlineStr">
        <is>
          <t>ÖREBRO LÄN</t>
        </is>
      </c>
      <c r="E522" t="inlineStr">
        <is>
          <t>ASKERSUND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22999-2025</t>
        </is>
      </c>
      <c r="B523" s="1" t="n">
        <v>45790</v>
      </c>
      <c r="C523" s="1" t="n">
        <v>46197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43578-2024</t>
        </is>
      </c>
      <c r="B524" s="1" t="n">
        <v>45569</v>
      </c>
      <c r="C524" s="1" t="n">
        <v>46197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54393-2024</t>
        </is>
      </c>
      <c r="B525" s="1" t="n">
        <v>45617</v>
      </c>
      <c r="C525" s="1" t="n">
        <v>46197</v>
      </c>
      <c r="D525" t="inlineStr">
        <is>
          <t>ÖREBRO LÄN</t>
        </is>
      </c>
      <c r="E525" t="inlineStr">
        <is>
          <t>ASKERSUND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10432-2025</t>
        </is>
      </c>
      <c r="B526" s="1" t="n">
        <v>45720</v>
      </c>
      <c r="C526" s="1" t="n">
        <v>46197</v>
      </c>
      <c r="D526" t="inlineStr">
        <is>
          <t>ÖREBRO LÄN</t>
        </is>
      </c>
      <c r="E526" t="inlineStr">
        <is>
          <t>ASKERSUND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3457-2025</t>
        </is>
      </c>
      <c r="B527" s="1" t="n">
        <v>45680</v>
      </c>
      <c r="C527" s="1" t="n">
        <v>46197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1332-2024</t>
        </is>
      </c>
      <c r="B528" s="1" t="n">
        <v>45303</v>
      </c>
      <c r="C528" s="1" t="n">
        <v>46197</v>
      </c>
      <c r="D528" t="inlineStr">
        <is>
          <t>ÖREBRO LÄN</t>
        </is>
      </c>
      <c r="E528" t="inlineStr">
        <is>
          <t>ASKERSUND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2026-06-24T00:48:25Z</dcterms:created>
  <dcterms:modified xmlns:dcterms="http://purl.org/dc/terms/" xmlns:xsi="http://www.w3.org/2001/XMLSchema-instance" xsi:type="dcterms:W3CDTF">2026-06-24T00:48:25Z</dcterms:modified>
</cp:coreProperties>
</file>