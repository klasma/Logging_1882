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46170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46170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46170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46170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46170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46170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46170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46170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46170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46170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46170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46170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46170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46170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46170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46170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46170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46170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46170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46170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46170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46170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46170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46170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46170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46170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46170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46170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46170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46170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46170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46170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46170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46170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46170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46170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46170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46170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46170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46170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46170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46170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46170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46170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46170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46170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46170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46170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18246-2026</t>
        </is>
      </c>
      <c r="B63" s="1" t="n">
        <v>46126.35640046297</v>
      </c>
      <c r="C63" s="1" t="n">
        <v>46170</v>
      </c>
      <c r="D63" t="inlineStr">
        <is>
          <t>ÖREBRO LÄN</t>
        </is>
      </c>
      <c r="E63" t="inlineStr">
        <is>
          <t>ASKERSUND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HYPERLINK("https://klasma.github.io/Logging_1882/artfynd/A 18246-2026 artfynd.xlsx", "A 18246-2026")</f>
        <v/>
      </c>
      <c r="T63">
        <f>HYPERLINK("https://klasma.github.io/Logging_1882/kartor/A 18246-2026 karta.png", "A 18246-2026")</f>
        <v/>
      </c>
      <c r="V63">
        <f>HYPERLINK("https://klasma.github.io/Logging_1882/klagomål/A 18246-2026 FSC-klagomål.docx", "A 18246-2026")</f>
        <v/>
      </c>
      <c r="W63">
        <f>HYPERLINK("https://klasma.github.io/Logging_1882/klagomålsmail/A 18246-2026 FSC-klagomål mail.docx", "A 18246-2026")</f>
        <v/>
      </c>
      <c r="X63">
        <f>HYPERLINK("https://klasma.github.io/Logging_1882/tillsyn/A 18246-2026 tillsynsbegäran.docx", "A 18246-2026")</f>
        <v/>
      </c>
      <c r="Y63">
        <f>HYPERLINK("https://klasma.github.io/Logging_1882/tillsynsmail/A 18246-2026 tillsynsbegäran mail.docx", "A 18246-2026")</f>
        <v/>
      </c>
    </row>
    <row r="64" ht="15" customHeight="1">
      <c r="A64" t="inlineStr">
        <is>
          <t>A 18259-2026</t>
        </is>
      </c>
      <c r="B64" s="1" t="n">
        <v>46126.36761574074</v>
      </c>
      <c r="C64" s="1" t="n">
        <v>46170</v>
      </c>
      <c r="D64" t="inlineStr">
        <is>
          <t>ÖREBRO LÄN</t>
        </is>
      </c>
      <c r="E64" t="inlineStr">
        <is>
          <t>ASKERSUND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Åkerväddsantennmal</t>
        </is>
      </c>
      <c r="S64">
        <f>HYPERLINK("https://klasma.github.io/Logging_1882/artfynd/A 18259-2026 artfynd.xlsx", "A 18259-2026")</f>
        <v/>
      </c>
      <c r="T64">
        <f>HYPERLINK("https://klasma.github.io/Logging_1882/kartor/A 18259-2026 karta.png", "A 18259-2026")</f>
        <v/>
      </c>
      <c r="V64">
        <f>HYPERLINK("https://klasma.github.io/Logging_1882/klagomål/A 18259-2026 FSC-klagomål.docx", "A 18259-2026")</f>
        <v/>
      </c>
      <c r="W64">
        <f>HYPERLINK("https://klasma.github.io/Logging_1882/klagomålsmail/A 18259-2026 FSC-klagomål mail.docx", "A 18259-2026")</f>
        <v/>
      </c>
      <c r="X64">
        <f>HYPERLINK("https://klasma.github.io/Logging_1882/tillsyn/A 18259-2026 tillsynsbegäran.docx", "A 18259-2026")</f>
        <v/>
      </c>
      <c r="Y64">
        <f>HYPERLINK("https://klasma.github.io/Logging_1882/tillsynsmail/A 18259-2026 tillsynsbegäran mail.docx", "A 18259-2026")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46170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46170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46170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46170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46170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46170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46170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46170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46170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46170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46170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46170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46170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46170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46170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46170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46170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46170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46170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46170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46170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46170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46170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46170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46170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46170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46170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46170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46170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46170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46170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46170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46170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46170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46170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46170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46170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46170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46170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46170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46170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46170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46170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46170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46170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46170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46170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46170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46966-2021</t>
        </is>
      </c>
      <c r="B125" s="1" t="n">
        <v>44446</v>
      </c>
      <c r="C125" s="1" t="n">
        <v>46170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46170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46170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44454.50037037037</v>
      </c>
      <c r="C128" s="1" t="n">
        <v>46170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46170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46170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46170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46170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46170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46170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46170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46170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46170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46170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46170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44467.58364583334</v>
      </c>
      <c r="C140" s="1" t="n">
        <v>46170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46170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46170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46170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46170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46170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46170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46170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46170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46170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46170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46170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46170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46170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46170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46170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46170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46170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46170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46170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46170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46170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46170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46170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46170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46170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46170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46170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46170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46170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46170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46170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46170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46170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46170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46170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46170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46170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46170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46170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18672-2022</t>
        </is>
      </c>
      <c r="B180" s="1" t="n">
        <v>44687.54699074074</v>
      </c>
      <c r="C180" s="1" t="n">
        <v>46170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7544-2024</t>
        </is>
      </c>
      <c r="B181" s="1" t="n">
        <v>45348</v>
      </c>
      <c r="C181" s="1" t="n">
        <v>46170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11635-2024</t>
        </is>
      </c>
      <c r="B182" s="1" t="n">
        <v>45373</v>
      </c>
      <c r="C182" s="1" t="n">
        <v>46170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7704-2022</t>
        </is>
      </c>
      <c r="B183" s="1" t="n">
        <v>44608</v>
      </c>
      <c r="C183" s="1" t="n">
        <v>46170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7713-2022</t>
        </is>
      </c>
      <c r="B184" s="1" t="n">
        <v>44608.32383101852</v>
      </c>
      <c r="C184" s="1" t="n">
        <v>46170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7730-2022</t>
        </is>
      </c>
      <c r="B185" s="1" t="n">
        <v>44608</v>
      </c>
      <c r="C185" s="1" t="n">
        <v>46170</v>
      </c>
      <c r="D185" t="inlineStr">
        <is>
          <t>ÖREBRO LÄN</t>
        </is>
      </c>
      <c r="E185" t="inlineStr">
        <is>
          <t>ASKERSUND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52289-2023</t>
        </is>
      </c>
      <c r="B186" s="1" t="n">
        <v>45224.59074074074</v>
      </c>
      <c r="C186" s="1" t="n">
        <v>46170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38624-2023</t>
        </is>
      </c>
      <c r="B187" s="1" t="n">
        <v>45162</v>
      </c>
      <c r="C187" s="1" t="n">
        <v>46170</v>
      </c>
      <c r="D187" t="inlineStr">
        <is>
          <t>ÖREBRO LÄN</t>
        </is>
      </c>
      <c r="E187" t="inlineStr">
        <is>
          <t>ASKERSUND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46170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46170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20788-2023</t>
        </is>
      </c>
      <c r="B190" s="1" t="n">
        <v>45058.59846064815</v>
      </c>
      <c r="C190" s="1" t="n">
        <v>46170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48860-2022</t>
        </is>
      </c>
      <c r="B191" s="1" t="n">
        <v>44859.69508101852</v>
      </c>
      <c r="C191" s="1" t="n">
        <v>46170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46170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6904-2023</t>
        </is>
      </c>
      <c r="B193" s="1" t="n">
        <v>44967.51170138889</v>
      </c>
      <c r="C193" s="1" t="n">
        <v>46170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26752-2024</t>
        </is>
      </c>
      <c r="B194" s="1" t="n">
        <v>45470.45872685185</v>
      </c>
      <c r="C194" s="1" t="n">
        <v>46170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32319-2022</t>
        </is>
      </c>
      <c r="B195" s="1" t="n">
        <v>44781</v>
      </c>
      <c r="C195" s="1" t="n">
        <v>46170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7854-2025</t>
        </is>
      </c>
      <c r="B196" s="1" t="n">
        <v>45706.67792824074</v>
      </c>
      <c r="C196" s="1" t="n">
        <v>46170</v>
      </c>
      <c r="D196" t="inlineStr">
        <is>
          <t>ÖREBRO LÄN</t>
        </is>
      </c>
      <c r="E196" t="inlineStr">
        <is>
          <t>ASKERSUND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12696-2025</t>
        </is>
      </c>
      <c r="B197" s="1" t="n">
        <v>45733.46162037037</v>
      </c>
      <c r="C197" s="1" t="n">
        <v>46170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16292-2024</t>
        </is>
      </c>
      <c r="B198" s="1" t="n">
        <v>45407</v>
      </c>
      <c r="C198" s="1" t="n">
        <v>46170</v>
      </c>
      <c r="D198" t="inlineStr">
        <is>
          <t>ÖREBRO LÄN</t>
        </is>
      </c>
      <c r="E198" t="inlineStr">
        <is>
          <t>ASKERSUND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46170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20515-2025</t>
        </is>
      </c>
      <c r="B200" s="1" t="n">
        <v>45775</v>
      </c>
      <c r="C200" s="1" t="n">
        <v>46170</v>
      </c>
      <c r="D200" t="inlineStr">
        <is>
          <t>ÖREBRO LÄN</t>
        </is>
      </c>
      <c r="E200" t="inlineStr">
        <is>
          <t>ASKERSUND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46170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27835-2025</t>
        </is>
      </c>
      <c r="B202" s="1" t="n">
        <v>45817.37068287037</v>
      </c>
      <c r="C202" s="1" t="n">
        <v>46170</v>
      </c>
      <c r="D202" t="inlineStr">
        <is>
          <t>ÖREBRO LÄN</t>
        </is>
      </c>
      <c r="E202" t="inlineStr">
        <is>
          <t>ASKERSUND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46170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46170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29229-2023</t>
        </is>
      </c>
      <c r="B205" s="1" t="n">
        <v>45105.6140625</v>
      </c>
      <c r="C205" s="1" t="n">
        <v>46170</v>
      </c>
      <c r="D205" t="inlineStr">
        <is>
          <t>ÖREBRO LÄN</t>
        </is>
      </c>
      <c r="E205" t="inlineStr">
        <is>
          <t>ASKERSUND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46174-2021</t>
        </is>
      </c>
      <c r="B206" s="1" t="n">
        <v>44442</v>
      </c>
      <c r="C206" s="1" t="n">
        <v>46170</v>
      </c>
      <c r="D206" t="inlineStr">
        <is>
          <t>ÖREBRO LÄN</t>
        </is>
      </c>
      <c r="E206" t="inlineStr">
        <is>
          <t>ASKERSUND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27819-2025</t>
        </is>
      </c>
      <c r="B207" s="1" t="n">
        <v>45817</v>
      </c>
      <c r="C207" s="1" t="n">
        <v>46170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54393-2024</t>
        </is>
      </c>
      <c r="B208" s="1" t="n">
        <v>45617.45731481481</v>
      </c>
      <c r="C208" s="1" t="n">
        <v>46170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46170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7077-2024</t>
        </is>
      </c>
      <c r="B210" s="1" t="n">
        <v>45343</v>
      </c>
      <c r="C210" s="1" t="n">
        <v>46170</v>
      </c>
      <c r="D210" t="inlineStr">
        <is>
          <t>ÖREBRO LÄN</t>
        </is>
      </c>
      <c r="E210" t="inlineStr">
        <is>
          <t>ASKERSUND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43578-2024</t>
        </is>
      </c>
      <c r="B211" s="1" t="n">
        <v>45569.41788194444</v>
      </c>
      <c r="C211" s="1" t="n">
        <v>46170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23233-2025</t>
        </is>
      </c>
      <c r="B212" s="1" t="n">
        <v>45791</v>
      </c>
      <c r="C212" s="1" t="n">
        <v>46170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14497-2025</t>
        </is>
      </c>
      <c r="B213" s="1" t="n">
        <v>45741.61515046296</v>
      </c>
      <c r="C213" s="1" t="n">
        <v>46170</v>
      </c>
      <c r="D213" t="inlineStr">
        <is>
          <t>ÖREBRO LÄN</t>
        </is>
      </c>
      <c r="E213" t="inlineStr">
        <is>
          <t>ASKERSUND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60357-2023</t>
        </is>
      </c>
      <c r="B214" s="1" t="n">
        <v>45258</v>
      </c>
      <c r="C214" s="1" t="n">
        <v>46170</v>
      </c>
      <c r="D214" t="inlineStr">
        <is>
          <t>ÖREBRO LÄN</t>
        </is>
      </c>
      <c r="E214" t="inlineStr">
        <is>
          <t>ASKERSUND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22999-2025</t>
        </is>
      </c>
      <c r="B215" s="1" t="n">
        <v>45790.58875</v>
      </c>
      <c r="C215" s="1" t="n">
        <v>46170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9437-2025</t>
        </is>
      </c>
      <c r="B216" s="1" t="n">
        <v>45715.4134375</v>
      </c>
      <c r="C216" s="1" t="n">
        <v>46170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60965-2021</t>
        </is>
      </c>
      <c r="B217" s="1" t="n">
        <v>44497</v>
      </c>
      <c r="C217" s="1" t="n">
        <v>46170</v>
      </c>
      <c r="D217" t="inlineStr">
        <is>
          <t>ÖREBRO LÄN</t>
        </is>
      </c>
      <c r="E217" t="inlineStr">
        <is>
          <t>ASKERSUND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45035.6899537037</v>
      </c>
      <c r="C218" s="1" t="n">
        <v>46170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11625-2022</t>
        </is>
      </c>
      <c r="B219" s="1" t="n">
        <v>44631</v>
      </c>
      <c r="C219" s="1" t="n">
        <v>46170</v>
      </c>
      <c r="D219" t="inlineStr">
        <is>
          <t>ÖREBRO LÄN</t>
        </is>
      </c>
      <c r="E219" t="inlineStr">
        <is>
          <t>ASKERSUND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33081-2025</t>
        </is>
      </c>
      <c r="B220" s="1" t="n">
        <v>45840</v>
      </c>
      <c r="C220" s="1" t="n">
        <v>46170</v>
      </c>
      <c r="D220" t="inlineStr">
        <is>
          <t>ÖREBRO LÄN</t>
        </is>
      </c>
      <c r="E220" t="inlineStr">
        <is>
          <t>ASKERSUND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1332-2024</t>
        </is>
      </c>
      <c r="B221" s="1" t="n">
        <v>45303</v>
      </c>
      <c r="C221" s="1" t="n">
        <v>46170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39690-2025</t>
        </is>
      </c>
      <c r="B222" s="1" t="n">
        <v>45890.67743055556</v>
      </c>
      <c r="C222" s="1" t="n">
        <v>46170</v>
      </c>
      <c r="D222" t="inlineStr">
        <is>
          <t>ÖREBRO LÄN</t>
        </is>
      </c>
      <c r="E222" t="inlineStr">
        <is>
          <t>ASKERSUND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10432-2025</t>
        </is>
      </c>
      <c r="B223" s="1" t="n">
        <v>45720</v>
      </c>
      <c r="C223" s="1" t="n">
        <v>46170</v>
      </c>
      <c r="D223" t="inlineStr">
        <is>
          <t>ÖREBRO LÄN</t>
        </is>
      </c>
      <c r="E223" t="inlineStr">
        <is>
          <t>ASKERSUND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62109-2024</t>
        </is>
      </c>
      <c r="B224" s="1" t="n">
        <v>45656</v>
      </c>
      <c r="C224" s="1" t="n">
        <v>46170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45453.59858796297</v>
      </c>
      <c r="C225" s="1" t="n">
        <v>46170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45453.6003587963</v>
      </c>
      <c r="C226" s="1" t="n">
        <v>46170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5228-2023</t>
        </is>
      </c>
      <c r="B227" s="1" t="n">
        <v>44959</v>
      </c>
      <c r="C227" s="1" t="n">
        <v>46170</v>
      </c>
      <c r="D227" t="inlineStr">
        <is>
          <t>ÖREBRO LÄN</t>
        </is>
      </c>
      <c r="E227" t="inlineStr">
        <is>
          <t>ASKERSUND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3728-2025</t>
        </is>
      </c>
      <c r="B228" s="1" t="n">
        <v>45681</v>
      </c>
      <c r="C228" s="1" t="n">
        <v>46170</v>
      </c>
      <c r="D228" t="inlineStr">
        <is>
          <t>ÖREBRO LÄN</t>
        </is>
      </c>
      <c r="E228" t="inlineStr">
        <is>
          <t>ASKERSUND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39908-2025</t>
        </is>
      </c>
      <c r="B229" s="1" t="n">
        <v>45891</v>
      </c>
      <c r="C229" s="1" t="n">
        <v>46170</v>
      </c>
      <c r="D229" t="inlineStr">
        <is>
          <t>ÖREBRO LÄN</t>
        </is>
      </c>
      <c r="E229" t="inlineStr">
        <is>
          <t>ASKERSUND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3457-2025</t>
        </is>
      </c>
      <c r="B230" s="1" t="n">
        <v>45680</v>
      </c>
      <c r="C230" s="1" t="n">
        <v>46170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27814-2025</t>
        </is>
      </c>
      <c r="B231" s="1" t="n">
        <v>45817.32715277778</v>
      </c>
      <c r="C231" s="1" t="n">
        <v>46170</v>
      </c>
      <c r="D231" t="inlineStr">
        <is>
          <t>ÖREBRO LÄN</t>
        </is>
      </c>
      <c r="E231" t="inlineStr">
        <is>
          <t>ASKERSUND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40745-2025</t>
        </is>
      </c>
      <c r="B232" s="1" t="n">
        <v>45897.37609953704</v>
      </c>
      <c r="C232" s="1" t="n">
        <v>46170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46170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46170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40587-2025</t>
        </is>
      </c>
      <c r="B235" s="1" t="n">
        <v>45896.52702546296</v>
      </c>
      <c r="C235" s="1" t="n">
        <v>46170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40616-2025</t>
        </is>
      </c>
      <c r="B236" s="1" t="n">
        <v>45896.58164351852</v>
      </c>
      <c r="C236" s="1" t="n">
        <v>46170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55047-2021</t>
        </is>
      </c>
      <c r="B237" s="1" t="n">
        <v>44474</v>
      </c>
      <c r="C237" s="1" t="n">
        <v>46170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46170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59538-2023</t>
        </is>
      </c>
      <c r="B239" s="1" t="n">
        <v>45254</v>
      </c>
      <c r="C239" s="1" t="n">
        <v>46170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46170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48746-2023</t>
        </is>
      </c>
      <c r="B241" s="1" t="n">
        <v>45208</v>
      </c>
      <c r="C241" s="1" t="n">
        <v>46170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25972-2022</t>
        </is>
      </c>
      <c r="B242" s="1" t="n">
        <v>44734</v>
      </c>
      <c r="C242" s="1" t="n">
        <v>46170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26198-2025</t>
        </is>
      </c>
      <c r="B243" s="1" t="n">
        <v>45805.50146990741</v>
      </c>
      <c r="C243" s="1" t="n">
        <v>46170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31506-2023</t>
        </is>
      </c>
      <c r="B244" s="1" t="n">
        <v>45115</v>
      </c>
      <c r="C244" s="1" t="n">
        <v>46170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31509-2023</t>
        </is>
      </c>
      <c r="B245" s="1" t="n">
        <v>45115</v>
      </c>
      <c r="C245" s="1" t="n">
        <v>46170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46170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42161-2025</t>
        </is>
      </c>
      <c r="B247" s="1" t="n">
        <v>45904.41351851852</v>
      </c>
      <c r="C247" s="1" t="n">
        <v>46170</v>
      </c>
      <c r="D247" t="inlineStr">
        <is>
          <t>ÖREBRO LÄN</t>
        </is>
      </c>
      <c r="E247" t="inlineStr">
        <is>
          <t>ASKERSUND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42281-2025</t>
        </is>
      </c>
      <c r="B248" s="1" t="n">
        <v>45904.61800925926</v>
      </c>
      <c r="C248" s="1" t="n">
        <v>46170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42100-2025</t>
        </is>
      </c>
      <c r="B249" s="1" t="n">
        <v>45903.77434027778</v>
      </c>
      <c r="C249" s="1" t="n">
        <v>46170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42542-2025</t>
        </is>
      </c>
      <c r="B250" s="1" t="n">
        <v>45905.57699074074</v>
      </c>
      <c r="C250" s="1" t="n">
        <v>46170</v>
      </c>
      <c r="D250" t="inlineStr">
        <is>
          <t>ÖREBRO LÄN</t>
        </is>
      </c>
      <c r="E250" t="inlineStr">
        <is>
          <t>ASKERSUND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42172-2025</t>
        </is>
      </c>
      <c r="B251" s="1" t="n">
        <v>45904.4365625</v>
      </c>
      <c r="C251" s="1" t="n">
        <v>46170</v>
      </c>
      <c r="D251" t="inlineStr">
        <is>
          <t>ÖREBRO LÄN</t>
        </is>
      </c>
      <c r="E251" t="inlineStr">
        <is>
          <t>ASKERSUND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37294-2021</t>
        </is>
      </c>
      <c r="B252" s="1" t="n">
        <v>44397</v>
      </c>
      <c r="C252" s="1" t="n">
        <v>46170</v>
      </c>
      <c r="D252" t="inlineStr">
        <is>
          <t>ÖREBRO LÄN</t>
        </is>
      </c>
      <c r="E252" t="inlineStr">
        <is>
          <t>ASKERSUND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53286-2025</t>
        </is>
      </c>
      <c r="B253" s="1" t="n">
        <v>45958</v>
      </c>
      <c r="C253" s="1" t="n">
        <v>46170</v>
      </c>
      <c r="D253" t="inlineStr">
        <is>
          <t>ÖREBRO LÄN</t>
        </is>
      </c>
      <c r="E253" t="inlineStr">
        <is>
          <t>ASKERSUND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5044-2022</t>
        </is>
      </c>
      <c r="B254" s="1" t="n">
        <v>44593</v>
      </c>
      <c r="C254" s="1" t="n">
        <v>46170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54142-2025</t>
        </is>
      </c>
      <c r="B255" s="1" t="n">
        <v>45964.47820601852</v>
      </c>
      <c r="C255" s="1" t="n">
        <v>46170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23514-2024</t>
        </is>
      </c>
      <c r="B256" s="1" t="n">
        <v>45453.84284722222</v>
      </c>
      <c r="C256" s="1" t="n">
        <v>46170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46170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54153-2025</t>
        </is>
      </c>
      <c r="B258" s="1" t="n">
        <v>45964.49197916667</v>
      </c>
      <c r="C258" s="1" t="n">
        <v>46170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54154-2025</t>
        </is>
      </c>
      <c r="B259" s="1" t="n">
        <v>45964.49260416667</v>
      </c>
      <c r="C259" s="1" t="n">
        <v>46170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54163-2025</t>
        </is>
      </c>
      <c r="B260" s="1" t="n">
        <v>45964.50881944445</v>
      </c>
      <c r="C260" s="1" t="n">
        <v>46170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32040-2024</t>
        </is>
      </c>
      <c r="B261" s="1" t="n">
        <v>45510</v>
      </c>
      <c r="C261" s="1" t="n">
        <v>46170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50102-2024</t>
        </is>
      </c>
      <c r="B262" s="1" t="n">
        <v>45599</v>
      </c>
      <c r="C262" s="1" t="n">
        <v>46170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28413-2025</t>
        </is>
      </c>
      <c r="B263" s="1" t="n">
        <v>45819.350625</v>
      </c>
      <c r="C263" s="1" t="n">
        <v>46170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56967-2023</t>
        </is>
      </c>
      <c r="B264" s="1" t="n">
        <v>45244</v>
      </c>
      <c r="C264" s="1" t="n">
        <v>46170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54169-2025</t>
        </is>
      </c>
      <c r="B265" s="1" t="n">
        <v>45964.52699074074</v>
      </c>
      <c r="C265" s="1" t="n">
        <v>46170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54170-2025</t>
        </is>
      </c>
      <c r="B266" s="1" t="n">
        <v>45964.52752314815</v>
      </c>
      <c r="C266" s="1" t="n">
        <v>46170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54161-2025</t>
        </is>
      </c>
      <c r="B267" s="1" t="n">
        <v>45964.50622685185</v>
      </c>
      <c r="C267" s="1" t="n">
        <v>46170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54162-2025</t>
        </is>
      </c>
      <c r="B268" s="1" t="n">
        <v>45964.50684027778</v>
      </c>
      <c r="C268" s="1" t="n">
        <v>46170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46170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46170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44679-2025</t>
        </is>
      </c>
      <c r="B271" s="1" t="n">
        <v>45917</v>
      </c>
      <c r="C271" s="1" t="n">
        <v>46170</v>
      </c>
      <c r="D271" t="inlineStr">
        <is>
          <t>ÖREBRO LÄN</t>
        </is>
      </c>
      <c r="E271" t="inlineStr">
        <is>
          <t>ASKERSUND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29800-2025</t>
        </is>
      </c>
      <c r="B272" s="1" t="n">
        <v>45825.69447916667</v>
      </c>
      <c r="C272" s="1" t="n">
        <v>46170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29802-2025</t>
        </is>
      </c>
      <c r="B273" s="1" t="n">
        <v>45825.6991550926</v>
      </c>
      <c r="C273" s="1" t="n">
        <v>46170</v>
      </c>
      <c r="D273" t="inlineStr">
        <is>
          <t>ÖREBRO LÄN</t>
        </is>
      </c>
      <c r="E273" t="inlineStr">
        <is>
          <t>ASKERSUND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50578-2022</t>
        </is>
      </c>
      <c r="B274" s="1" t="n">
        <v>44866.65612268518</v>
      </c>
      <c r="C274" s="1" t="n">
        <v>46170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43933-2024</t>
        </is>
      </c>
      <c r="B275" s="1" t="n">
        <v>45572.45697916667</v>
      </c>
      <c r="C275" s="1" t="n">
        <v>46170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22802-2023</t>
        </is>
      </c>
      <c r="B276" s="1" t="n">
        <v>45072</v>
      </c>
      <c r="C276" s="1" t="n">
        <v>46170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22804-2023</t>
        </is>
      </c>
      <c r="B277" s="1" t="n">
        <v>45072.39223379629</v>
      </c>
      <c r="C277" s="1" t="n">
        <v>46170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6821-2023</t>
        </is>
      </c>
      <c r="B278" s="1" t="n">
        <v>44967.39028935185</v>
      </c>
      <c r="C278" s="1" t="n">
        <v>46170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12801-2025</t>
        </is>
      </c>
      <c r="B279" s="1" t="n">
        <v>45733.61251157407</v>
      </c>
      <c r="C279" s="1" t="n">
        <v>46170</v>
      </c>
      <c r="D279" t="inlineStr">
        <is>
          <t>ÖREBRO LÄN</t>
        </is>
      </c>
      <c r="E279" t="inlineStr">
        <is>
          <t>ASKERSUND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15725-2025</t>
        </is>
      </c>
      <c r="B280" s="1" t="n">
        <v>45748</v>
      </c>
      <c r="C280" s="1" t="n">
        <v>46170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59920-2023</t>
        </is>
      </c>
      <c r="B281" s="1" t="n">
        <v>45257</v>
      </c>
      <c r="C281" s="1" t="n">
        <v>46170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30006-2024</t>
        </is>
      </c>
      <c r="B282" s="1" t="n">
        <v>45485</v>
      </c>
      <c r="C282" s="1" t="n">
        <v>46170</v>
      </c>
      <c r="D282" t="inlineStr">
        <is>
          <t>ÖREBRO LÄN</t>
        </is>
      </c>
      <c r="E282" t="inlineStr">
        <is>
          <t>ASKERSUND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29985-2024</t>
        </is>
      </c>
      <c r="B283" s="1" t="n">
        <v>45485</v>
      </c>
      <c r="C283" s="1" t="n">
        <v>46170</v>
      </c>
      <c r="D283" t="inlineStr">
        <is>
          <t>ÖREBRO LÄN</t>
        </is>
      </c>
      <c r="E283" t="inlineStr">
        <is>
          <t>ASKERSUND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43662-2024</t>
        </is>
      </c>
      <c r="B284" s="1" t="n">
        <v>45569.55479166667</v>
      </c>
      <c r="C284" s="1" t="n">
        <v>46170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45543-2025</t>
        </is>
      </c>
      <c r="B285" s="1" t="n">
        <v>45922.62282407407</v>
      </c>
      <c r="C285" s="1" t="n">
        <v>46170</v>
      </c>
      <c r="D285" t="inlineStr">
        <is>
          <t>ÖREBRO LÄN</t>
        </is>
      </c>
      <c r="E285" t="inlineStr">
        <is>
          <t>ASKERSUND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45551-2025</t>
        </is>
      </c>
      <c r="B286" s="1" t="n">
        <v>45922.63743055556</v>
      </c>
      <c r="C286" s="1" t="n">
        <v>46170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29983-2024</t>
        </is>
      </c>
      <c r="B287" s="1" t="n">
        <v>45485</v>
      </c>
      <c r="C287" s="1" t="n">
        <v>46170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61139-2021</t>
        </is>
      </c>
      <c r="B288" s="1" t="n">
        <v>44498.3784837963</v>
      </c>
      <c r="C288" s="1" t="n">
        <v>46170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15572-2022</t>
        </is>
      </c>
      <c r="B289" s="1" t="n">
        <v>44662</v>
      </c>
      <c r="C289" s="1" t="n">
        <v>46170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13617-2022</t>
        </is>
      </c>
      <c r="B290" s="1" t="n">
        <v>44648</v>
      </c>
      <c r="C290" s="1" t="n">
        <v>46170</v>
      </c>
      <c r="D290" t="inlineStr">
        <is>
          <t>ÖREBRO LÄN</t>
        </is>
      </c>
      <c r="E290" t="inlineStr">
        <is>
          <t>ASKERSUND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13425-2022</t>
        </is>
      </c>
      <c r="B291" s="1" t="n">
        <v>44645</v>
      </c>
      <c r="C291" s="1" t="n">
        <v>46170</v>
      </c>
      <c r="D291" t="inlineStr">
        <is>
          <t>ÖREBRO LÄN</t>
        </is>
      </c>
      <c r="E291" t="inlineStr">
        <is>
          <t>ASKERSUND</t>
        </is>
      </c>
      <c r="G291" t="n">
        <v>16.8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13981-2022</t>
        </is>
      </c>
      <c r="B292" s="1" t="n">
        <v>44650</v>
      </c>
      <c r="C292" s="1" t="n">
        <v>46170</v>
      </c>
      <c r="D292" t="inlineStr">
        <is>
          <t>ÖREBRO LÄN</t>
        </is>
      </c>
      <c r="E292" t="inlineStr">
        <is>
          <t>ASKERSUND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26485-2022</t>
        </is>
      </c>
      <c r="B293" s="1" t="n">
        <v>44739</v>
      </c>
      <c r="C293" s="1" t="n">
        <v>46170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35450-2021</t>
        </is>
      </c>
      <c r="B294" s="1" t="n">
        <v>44385</v>
      </c>
      <c r="C294" s="1" t="n">
        <v>46170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15722-2025</t>
        </is>
      </c>
      <c r="B295" s="1" t="n">
        <v>45748.51697916666</v>
      </c>
      <c r="C295" s="1" t="n">
        <v>46170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46170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12797-2025</t>
        </is>
      </c>
      <c r="B297" s="1" t="n">
        <v>45733.61097222222</v>
      </c>
      <c r="C297" s="1" t="n">
        <v>46170</v>
      </c>
      <c r="D297" t="inlineStr">
        <is>
          <t>ÖREBRO LÄN</t>
        </is>
      </c>
      <c r="E297" t="inlineStr">
        <is>
          <t>ASKERSUND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30416-2025</t>
        </is>
      </c>
      <c r="B298" s="1" t="n">
        <v>45827.60635416667</v>
      </c>
      <c r="C298" s="1" t="n">
        <v>46170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60114-2024</t>
        </is>
      </c>
      <c r="B299" s="1" t="n">
        <v>45642</v>
      </c>
      <c r="C299" s="1" t="n">
        <v>46170</v>
      </c>
      <c r="D299" t="inlineStr">
        <is>
          <t>ÖREBRO LÄN</t>
        </is>
      </c>
      <c r="E299" t="inlineStr">
        <is>
          <t>ASKERSUND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46170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46170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46170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45501-2025</t>
        </is>
      </c>
      <c r="B303" s="1" t="n">
        <v>45922.57255787037</v>
      </c>
      <c r="C303" s="1" t="n">
        <v>46170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45547-2025</t>
        </is>
      </c>
      <c r="B304" s="1" t="n">
        <v>45922.62559027778</v>
      </c>
      <c r="C304" s="1" t="n">
        <v>46170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46170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46170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642-2022</t>
        </is>
      </c>
      <c r="B307" s="1" t="n">
        <v>44568.39900462963</v>
      </c>
      <c r="C307" s="1" t="n">
        <v>46170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37532-2023</t>
        </is>
      </c>
      <c r="B308" s="1" t="n">
        <v>45158.89597222222</v>
      </c>
      <c r="C308" s="1" t="n">
        <v>46170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41264-2023</t>
        </is>
      </c>
      <c r="B309" s="1" t="n">
        <v>45170</v>
      </c>
      <c r="C309" s="1" t="n">
        <v>46170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46170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46170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46170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31664-2025</t>
        </is>
      </c>
      <c r="B313" s="1" t="n">
        <v>45834.36265046296</v>
      </c>
      <c r="C313" s="1" t="n">
        <v>46170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47296-2025</t>
        </is>
      </c>
      <c r="B314" s="1" t="n">
        <v>45930.49436342593</v>
      </c>
      <c r="C314" s="1" t="n">
        <v>46170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37605-2022</t>
        </is>
      </c>
      <c r="B315" s="1" t="n">
        <v>44809</v>
      </c>
      <c r="C315" s="1" t="n">
        <v>46170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3883-2024</t>
        </is>
      </c>
      <c r="B316" s="1" t="n">
        <v>45322</v>
      </c>
      <c r="C316" s="1" t="n">
        <v>46170</v>
      </c>
      <c r="D316" t="inlineStr">
        <is>
          <t>ÖREBRO LÄN</t>
        </is>
      </c>
      <c r="E316" t="inlineStr">
        <is>
          <t>ASKERSUND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32126-2025</t>
        </is>
      </c>
      <c r="B317" s="1" t="n">
        <v>45835</v>
      </c>
      <c r="C317" s="1" t="n">
        <v>46170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48253-2025</t>
        </is>
      </c>
      <c r="B318" s="1" t="n">
        <v>45933.55381944445</v>
      </c>
      <c r="C318" s="1" t="n">
        <v>46170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12567-2023</t>
        </is>
      </c>
      <c r="B319" s="1" t="n">
        <v>45000</v>
      </c>
      <c r="C319" s="1" t="n">
        <v>46170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33195-2025</t>
        </is>
      </c>
      <c r="B320" s="1" t="n">
        <v>45840.60313657407</v>
      </c>
      <c r="C320" s="1" t="n">
        <v>46170</v>
      </c>
      <c r="D320" t="inlineStr">
        <is>
          <t>ÖREBRO LÄN</t>
        </is>
      </c>
      <c r="E320" t="inlineStr">
        <is>
          <t>ASKERSUND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48619-2025</t>
        </is>
      </c>
      <c r="B321" s="1" t="n">
        <v>45936.49065972222</v>
      </c>
      <c r="C321" s="1" t="n">
        <v>46170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48390-2025</t>
        </is>
      </c>
      <c r="B322" s="1" t="n">
        <v>45933.89425925926</v>
      </c>
      <c r="C322" s="1" t="n">
        <v>46170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46170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46170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46170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46170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9516-2025</t>
        </is>
      </c>
      <c r="B327" s="1" t="n">
        <v>45714</v>
      </c>
      <c r="C327" s="1" t="n">
        <v>46170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48388-2025</t>
        </is>
      </c>
      <c r="B328" s="1" t="n">
        <v>45933.89319444444</v>
      </c>
      <c r="C328" s="1" t="n">
        <v>46170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48392-2025</t>
        </is>
      </c>
      <c r="B329" s="1" t="n">
        <v>45933.90063657407</v>
      </c>
      <c r="C329" s="1" t="n">
        <v>46170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48420-2025</t>
        </is>
      </c>
      <c r="B330" s="1" t="n">
        <v>45934.66789351852</v>
      </c>
      <c r="C330" s="1" t="n">
        <v>46170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5050-2022</t>
        </is>
      </c>
      <c r="B331" s="1" t="n">
        <v>44593.68526620371</v>
      </c>
      <c r="C331" s="1" t="n">
        <v>46170</v>
      </c>
      <c r="D331" t="inlineStr">
        <is>
          <t>ÖREBRO LÄN</t>
        </is>
      </c>
      <c r="E331" t="inlineStr">
        <is>
          <t>ASKERSUND</t>
        </is>
      </c>
      <c r="F331" t="inlineStr">
        <is>
          <t>Allmännings- och besparingsskogar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74186-2021</t>
        </is>
      </c>
      <c r="B332" s="1" t="n">
        <v>44558</v>
      </c>
      <c r="C332" s="1" t="n">
        <v>46170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34434-2025</t>
        </is>
      </c>
      <c r="B333" s="1" t="n">
        <v>45846.67712962963</v>
      </c>
      <c r="C333" s="1" t="n">
        <v>46170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8367-2025</t>
        </is>
      </c>
      <c r="B334" s="1" t="n">
        <v>45708.95491898148</v>
      </c>
      <c r="C334" s="1" t="n">
        <v>46170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34433-2025</t>
        </is>
      </c>
      <c r="B335" s="1" t="n">
        <v>45846.67590277778</v>
      </c>
      <c r="C335" s="1" t="n">
        <v>46170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46170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46170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46170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46170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46170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43958-2024</t>
        </is>
      </c>
      <c r="B341" s="1" t="n">
        <v>45572.47811342592</v>
      </c>
      <c r="C341" s="1" t="n">
        <v>46170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14598-2025</t>
        </is>
      </c>
      <c r="B342" s="1" t="n">
        <v>45742.36125</v>
      </c>
      <c r="C342" s="1" t="n">
        <v>46170</v>
      </c>
      <c r="D342" t="inlineStr">
        <is>
          <t>ÖREBRO LÄN</t>
        </is>
      </c>
      <c r="E342" t="inlineStr">
        <is>
          <t>ASKERSUND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32679-2025</t>
        </is>
      </c>
      <c r="B343" s="1" t="n">
        <v>45838.78107638889</v>
      </c>
      <c r="C343" s="1" t="n">
        <v>46170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46616-2023</t>
        </is>
      </c>
      <c r="B344" s="1" t="n">
        <v>45198.40267361111</v>
      </c>
      <c r="C344" s="1" t="n">
        <v>46170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48612-2023</t>
        </is>
      </c>
      <c r="B345" s="1" t="n">
        <v>45208.54440972222</v>
      </c>
      <c r="C345" s="1" t="n">
        <v>46170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48654-2023</t>
        </is>
      </c>
      <c r="B346" s="1" t="n">
        <v>45208.60009259259</v>
      </c>
      <c r="C346" s="1" t="n">
        <v>46170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62103-2024</t>
        </is>
      </c>
      <c r="B347" s="1" t="n">
        <v>45656</v>
      </c>
      <c r="C347" s="1" t="n">
        <v>46170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62107-2024</t>
        </is>
      </c>
      <c r="B348" s="1" t="n">
        <v>45656</v>
      </c>
      <c r="C348" s="1" t="n">
        <v>46170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62108-2024</t>
        </is>
      </c>
      <c r="B349" s="1" t="n">
        <v>45656</v>
      </c>
      <c r="C349" s="1" t="n">
        <v>46170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56476-2025</t>
        </is>
      </c>
      <c r="B350" s="1" t="n">
        <v>45975.38548611111</v>
      </c>
      <c r="C350" s="1" t="n">
        <v>46170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48884-2022</t>
        </is>
      </c>
      <c r="B351" s="1" t="n">
        <v>44859.89707175926</v>
      </c>
      <c r="C351" s="1" t="n">
        <v>46170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56221-2025</t>
        </is>
      </c>
      <c r="B352" s="1" t="n">
        <v>45974.49936342592</v>
      </c>
      <c r="C352" s="1" t="n">
        <v>46170</v>
      </c>
      <c r="D352" t="inlineStr">
        <is>
          <t>ÖREBRO LÄN</t>
        </is>
      </c>
      <c r="E352" t="inlineStr">
        <is>
          <t>ASKERSUND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29522-2024</t>
        </is>
      </c>
      <c r="B353" s="1" t="n">
        <v>45484.44842592593</v>
      </c>
      <c r="C353" s="1" t="n">
        <v>46170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25528-2023</t>
        </is>
      </c>
      <c r="B354" s="1" t="n">
        <v>45089</v>
      </c>
      <c r="C354" s="1" t="n">
        <v>46170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2555-2024</t>
        </is>
      </c>
      <c r="B355" s="1" t="n">
        <v>45313.60285879629</v>
      </c>
      <c r="C355" s="1" t="n">
        <v>46170</v>
      </c>
      <c r="D355" t="inlineStr">
        <is>
          <t>ÖREBRO LÄN</t>
        </is>
      </c>
      <c r="E355" t="inlineStr">
        <is>
          <t>ASKERSUND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36283-2025</t>
        </is>
      </c>
      <c r="B356" s="1" t="n">
        <v>45867</v>
      </c>
      <c r="C356" s="1" t="n">
        <v>46170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2445-2025</t>
        </is>
      </c>
      <c r="B357" s="1" t="n">
        <v>45674</v>
      </c>
      <c r="C357" s="1" t="n">
        <v>46170</v>
      </c>
      <c r="D357" t="inlineStr">
        <is>
          <t>ÖREBRO LÄN</t>
        </is>
      </c>
      <c r="E357" t="inlineStr">
        <is>
          <t>ASKERSUND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56475-2025</t>
        </is>
      </c>
      <c r="B358" s="1" t="n">
        <v>45975.38383101852</v>
      </c>
      <c r="C358" s="1" t="n">
        <v>46170</v>
      </c>
      <c r="D358" t="inlineStr">
        <is>
          <t>ÖREBRO LÄN</t>
        </is>
      </c>
      <c r="E358" t="inlineStr">
        <is>
          <t>ASKERSUND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43139-2021</t>
        </is>
      </c>
      <c r="B359" s="1" t="n">
        <v>44431</v>
      </c>
      <c r="C359" s="1" t="n">
        <v>46170</v>
      </c>
      <c r="D359" t="inlineStr">
        <is>
          <t>ÖREBRO LÄN</t>
        </is>
      </c>
      <c r="E359" t="inlineStr">
        <is>
          <t>ASKERSUND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41838-2022</t>
        </is>
      </c>
      <c r="B360" s="1" t="n">
        <v>44828</v>
      </c>
      <c r="C360" s="1" t="n">
        <v>46170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50048-2022</t>
        </is>
      </c>
      <c r="B361" s="1" t="n">
        <v>44865.47030092592</v>
      </c>
      <c r="C361" s="1" t="n">
        <v>46170</v>
      </c>
      <c r="D361" t="inlineStr">
        <is>
          <t>ÖREBRO LÄN</t>
        </is>
      </c>
      <c r="E361" t="inlineStr">
        <is>
          <t>ASKERSUND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31120-2024</t>
        </is>
      </c>
      <c r="B362" s="1" t="n">
        <v>45502.59939814815</v>
      </c>
      <c r="C362" s="1" t="n">
        <v>46170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27218-2024</t>
        </is>
      </c>
      <c r="B363" s="1" t="n">
        <v>45471.6228587963</v>
      </c>
      <c r="C363" s="1" t="n">
        <v>46170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33258-2025</t>
        </is>
      </c>
      <c r="B364" s="1" t="n">
        <v>45840.67255787037</v>
      </c>
      <c r="C364" s="1" t="n">
        <v>46170</v>
      </c>
      <c r="D364" t="inlineStr">
        <is>
          <t>ÖREBRO LÄN</t>
        </is>
      </c>
      <c r="E364" t="inlineStr">
        <is>
          <t>ASKERSUND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37224-2025</t>
        </is>
      </c>
      <c r="B365" s="1" t="n">
        <v>45876</v>
      </c>
      <c r="C365" s="1" t="n">
        <v>46170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46170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46170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46170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33151-2021</t>
        </is>
      </c>
      <c r="B369" s="1" t="n">
        <v>44376.67820601852</v>
      </c>
      <c r="C369" s="1" t="n">
        <v>46170</v>
      </c>
      <c r="D369" t="inlineStr">
        <is>
          <t>ÖREBRO LÄN</t>
        </is>
      </c>
      <c r="E369" t="inlineStr">
        <is>
          <t>ASKERSUND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2295-2023</t>
        </is>
      </c>
      <c r="B370" s="1" t="n">
        <v>44942</v>
      </c>
      <c r="C370" s="1" t="n">
        <v>46170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55591-2023</t>
        </is>
      </c>
      <c r="B371" s="1" t="n">
        <v>45238</v>
      </c>
      <c r="C371" s="1" t="n">
        <v>46170</v>
      </c>
      <c r="D371" t="inlineStr">
        <is>
          <t>ÖREBRO LÄN</t>
        </is>
      </c>
      <c r="E371" t="inlineStr">
        <is>
          <t>ASKERSUND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37930-2025</t>
        </is>
      </c>
      <c r="B372" s="1" t="n">
        <v>45881.58667824074</v>
      </c>
      <c r="C372" s="1" t="n">
        <v>46170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36503-2021</t>
        </is>
      </c>
      <c r="B373" s="1" t="n">
        <v>44391.40619212963</v>
      </c>
      <c r="C373" s="1" t="n">
        <v>46170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22805-2023</t>
        </is>
      </c>
      <c r="B374" s="1" t="n">
        <v>45072.3937037037</v>
      </c>
      <c r="C374" s="1" t="n">
        <v>46170</v>
      </c>
      <c r="D374" t="inlineStr">
        <is>
          <t>ÖREBRO LÄN</t>
        </is>
      </c>
      <c r="E374" t="inlineStr">
        <is>
          <t>ASKERSUND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62584-2021</t>
        </is>
      </c>
      <c r="B375" s="1" t="n">
        <v>44503.65924768519</v>
      </c>
      <c r="C375" s="1" t="n">
        <v>46170</v>
      </c>
      <c r="D375" t="inlineStr">
        <is>
          <t>ÖREBRO LÄN</t>
        </is>
      </c>
      <c r="E375" t="inlineStr">
        <is>
          <t>ASKERSUND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49541-2023</t>
        </is>
      </c>
      <c r="B376" s="1" t="n">
        <v>45211</v>
      </c>
      <c r="C376" s="1" t="n">
        <v>46170</v>
      </c>
      <c r="D376" t="inlineStr">
        <is>
          <t>ÖREBRO LÄN</t>
        </is>
      </c>
      <c r="E376" t="inlineStr">
        <is>
          <t>ASKERSUND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29235-2023</t>
        </is>
      </c>
      <c r="B377" s="1" t="n">
        <v>45105.61784722222</v>
      </c>
      <c r="C377" s="1" t="n">
        <v>46170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21055-2024</t>
        </is>
      </c>
      <c r="B378" s="1" t="n">
        <v>45439.70784722222</v>
      </c>
      <c r="C378" s="1" t="n">
        <v>46170</v>
      </c>
      <c r="D378" t="inlineStr">
        <is>
          <t>ÖREBRO LÄN</t>
        </is>
      </c>
      <c r="E378" t="inlineStr">
        <is>
          <t>ASKERSUND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46170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28555-2023</t>
        </is>
      </c>
      <c r="B380" s="1" t="n">
        <v>45103.51847222223</v>
      </c>
      <c r="C380" s="1" t="n">
        <v>46170</v>
      </c>
      <c r="D380" t="inlineStr">
        <is>
          <t>ÖREBRO LÄN</t>
        </is>
      </c>
      <c r="E380" t="inlineStr">
        <is>
          <t>ASKERSUND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58726-2025</t>
        </is>
      </c>
      <c r="B381" s="1" t="n">
        <v>45986</v>
      </c>
      <c r="C381" s="1" t="n">
        <v>46170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8298-2022</t>
        </is>
      </c>
      <c r="B382" s="1" t="n">
        <v>44610</v>
      </c>
      <c r="C382" s="1" t="n">
        <v>46170</v>
      </c>
      <c r="D382" t="inlineStr">
        <is>
          <t>ÖREBRO LÄN</t>
        </is>
      </c>
      <c r="E382" t="inlineStr">
        <is>
          <t>ASKERSUND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11836-2025</t>
        </is>
      </c>
      <c r="B383" s="1" t="n">
        <v>45728.35930555555</v>
      </c>
      <c r="C383" s="1" t="n">
        <v>46170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38881-2025</t>
        </is>
      </c>
      <c r="B384" s="1" t="n">
        <v>45887</v>
      </c>
      <c r="C384" s="1" t="n">
        <v>46170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7374-2022</t>
        </is>
      </c>
      <c r="B385" s="1" t="n">
        <v>44606.59967592593</v>
      </c>
      <c r="C385" s="1" t="n">
        <v>46170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58806-2025</t>
        </is>
      </c>
      <c r="B386" s="1" t="n">
        <v>45987</v>
      </c>
      <c r="C386" s="1" t="n">
        <v>46170</v>
      </c>
      <c r="D386" t="inlineStr">
        <is>
          <t>ÖREBRO LÄN</t>
        </is>
      </c>
      <c r="E386" t="inlineStr">
        <is>
          <t>ASKERSUND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59238-2025</t>
        </is>
      </c>
      <c r="B387" s="1" t="n">
        <v>45988.63296296296</v>
      </c>
      <c r="C387" s="1" t="n">
        <v>46170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59236-2025</t>
        </is>
      </c>
      <c r="B388" s="1" t="n">
        <v>45988.63138888889</v>
      </c>
      <c r="C388" s="1" t="n">
        <v>46170</v>
      </c>
      <c r="D388" t="inlineStr">
        <is>
          <t>ÖREBRO LÄN</t>
        </is>
      </c>
      <c r="E388" t="inlineStr">
        <is>
          <t>ASKERSUND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59232-2025</t>
        </is>
      </c>
      <c r="B389" s="1" t="n">
        <v>45988.62762731482</v>
      </c>
      <c r="C389" s="1" t="n">
        <v>46170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59235-2025</t>
        </is>
      </c>
      <c r="B390" s="1" t="n">
        <v>45988.62976851852</v>
      </c>
      <c r="C390" s="1" t="n">
        <v>46170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64614-2021</t>
        </is>
      </c>
      <c r="B391" s="1" t="n">
        <v>44511</v>
      </c>
      <c r="C391" s="1" t="n">
        <v>46170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8044-2025</t>
        </is>
      </c>
      <c r="B392" s="1" t="n">
        <v>45707</v>
      </c>
      <c r="C392" s="1" t="n">
        <v>46170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46170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60224-2025</t>
        </is>
      </c>
      <c r="B394" s="1" t="n">
        <v>45994.54824074074</v>
      </c>
      <c r="C394" s="1" t="n">
        <v>46170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46170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60867-2025</t>
        </is>
      </c>
      <c r="B396" s="1" t="n">
        <v>45999.54109953704</v>
      </c>
      <c r="C396" s="1" t="n">
        <v>46170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20184-2024</t>
        </is>
      </c>
      <c r="B397" s="1" t="n">
        <v>45434.62350694444</v>
      </c>
      <c r="C397" s="1" t="n">
        <v>46170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61532-2025</t>
        </is>
      </c>
      <c r="B398" s="1" t="n">
        <v>46001.7097337963</v>
      </c>
      <c r="C398" s="1" t="n">
        <v>46170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46170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30100-2024</t>
        </is>
      </c>
      <c r="B400" s="1" t="n">
        <v>45489.4169212963</v>
      </c>
      <c r="C400" s="1" t="n">
        <v>46170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1359-2022</t>
        </is>
      </c>
      <c r="B401" s="1" t="n">
        <v>44573</v>
      </c>
      <c r="C401" s="1" t="n">
        <v>46170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59349-2023</t>
        </is>
      </c>
      <c r="B402" s="1" t="n">
        <v>45253.65600694445</v>
      </c>
      <c r="C402" s="1" t="n">
        <v>46170</v>
      </c>
      <c r="D402" t="inlineStr">
        <is>
          <t>ÖREBRO LÄN</t>
        </is>
      </c>
      <c r="E402" t="inlineStr">
        <is>
          <t>ASKERSUND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36484-2022</t>
        </is>
      </c>
      <c r="B403" s="1" t="n">
        <v>44804.44864583333</v>
      </c>
      <c r="C403" s="1" t="n">
        <v>46170</v>
      </c>
      <c r="D403" t="inlineStr">
        <is>
          <t>ÖREBRO LÄN</t>
        </is>
      </c>
      <c r="E403" t="inlineStr">
        <is>
          <t>ASKERSUND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38626-2023</t>
        </is>
      </c>
      <c r="B404" s="1" t="n">
        <v>45162</v>
      </c>
      <c r="C404" s="1" t="n">
        <v>46170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11064-2025</t>
        </is>
      </c>
      <c r="B405" s="1" t="n">
        <v>45723.52434027778</v>
      </c>
      <c r="C405" s="1" t="n">
        <v>46170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62547-2025</t>
        </is>
      </c>
      <c r="B406" s="1" t="n">
        <v>46007.66248842593</v>
      </c>
      <c r="C406" s="1" t="n">
        <v>46170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62550-2025</t>
        </is>
      </c>
      <c r="B407" s="1" t="n">
        <v>46007.67032407408</v>
      </c>
      <c r="C407" s="1" t="n">
        <v>46170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62551-2025</t>
        </is>
      </c>
      <c r="B408" s="1" t="n">
        <v>46007.67262731482</v>
      </c>
      <c r="C408" s="1" t="n">
        <v>46170</v>
      </c>
      <c r="D408" t="inlineStr">
        <is>
          <t>ÖREBRO LÄN</t>
        </is>
      </c>
      <c r="E408" t="inlineStr">
        <is>
          <t>ASKERSUND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62555-2025</t>
        </is>
      </c>
      <c r="B409" s="1" t="n">
        <v>46007.67962962963</v>
      </c>
      <c r="C409" s="1" t="n">
        <v>46170</v>
      </c>
      <c r="D409" t="inlineStr">
        <is>
          <t>ÖREBRO LÄN</t>
        </is>
      </c>
      <c r="E409" t="inlineStr">
        <is>
          <t>ASKERSUND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26415-2024</t>
        </is>
      </c>
      <c r="B410" s="1" t="n">
        <v>45469.456875</v>
      </c>
      <c r="C410" s="1" t="n">
        <v>46170</v>
      </c>
      <c r="D410" t="inlineStr">
        <is>
          <t>ÖREBRO LÄN</t>
        </is>
      </c>
      <c r="E410" t="inlineStr">
        <is>
          <t>ASKERSUND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59530-2023</t>
        </is>
      </c>
      <c r="B411" s="1" t="n">
        <v>45254.51172453703</v>
      </c>
      <c r="C411" s="1" t="n">
        <v>46170</v>
      </c>
      <c r="D411" t="inlineStr">
        <is>
          <t>ÖREBRO LÄN</t>
        </is>
      </c>
      <c r="E411" t="inlineStr">
        <is>
          <t>ASKERSUND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31973-2023</t>
        </is>
      </c>
      <c r="B412" s="1" t="n">
        <v>45107</v>
      </c>
      <c r="C412" s="1" t="n">
        <v>46170</v>
      </c>
      <c r="D412" t="inlineStr">
        <is>
          <t>ÖREBRO LÄN</t>
        </is>
      </c>
      <c r="E412" t="inlineStr">
        <is>
          <t>ASKERSUND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63356-2025</t>
        </is>
      </c>
      <c r="B413" s="1" t="n">
        <v>46010.67173611111</v>
      </c>
      <c r="C413" s="1" t="n">
        <v>46170</v>
      </c>
      <c r="D413" t="inlineStr">
        <is>
          <t>ÖREBRO LÄN</t>
        </is>
      </c>
      <c r="E413" t="inlineStr">
        <is>
          <t>ASKERSUND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52072-2024</t>
        </is>
      </c>
      <c r="B414" s="1" t="n">
        <v>45608</v>
      </c>
      <c r="C414" s="1" t="n">
        <v>46170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7256-2023</t>
        </is>
      </c>
      <c r="B415" s="1" t="n">
        <v>44970.63328703704</v>
      </c>
      <c r="C415" s="1" t="n">
        <v>46170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63546-2025</t>
        </is>
      </c>
      <c r="B416" s="1" t="n">
        <v>46013.59997685185</v>
      </c>
      <c r="C416" s="1" t="n">
        <v>46170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63318-2025</t>
        </is>
      </c>
      <c r="B417" s="1" t="n">
        <v>46010.63524305556</v>
      </c>
      <c r="C417" s="1" t="n">
        <v>46170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18802-2024</t>
        </is>
      </c>
      <c r="B418" s="1" t="n">
        <v>45426.60180555555</v>
      </c>
      <c r="C418" s="1" t="n">
        <v>46170</v>
      </c>
      <c r="D418" t="inlineStr">
        <is>
          <t>ÖREBRO LÄN</t>
        </is>
      </c>
      <c r="E418" t="inlineStr">
        <is>
          <t>ASKERSUND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50101-2024</t>
        </is>
      </c>
      <c r="B419" s="1" t="n">
        <v>45599</v>
      </c>
      <c r="C419" s="1" t="n">
        <v>46170</v>
      </c>
      <c r="D419" t="inlineStr">
        <is>
          <t>ÖREBRO LÄN</t>
        </is>
      </c>
      <c r="E419" t="inlineStr">
        <is>
          <t>ASKERSUND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14499-2022</t>
        </is>
      </c>
      <c r="B420" s="1" t="n">
        <v>44655.36789351852</v>
      </c>
      <c r="C420" s="1" t="n">
        <v>46170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47344-2024</t>
        </is>
      </c>
      <c r="B421" s="1" t="n">
        <v>45587.40885416666</v>
      </c>
      <c r="C421" s="1" t="n">
        <v>46170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46170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1437-2024</t>
        </is>
      </c>
      <c r="B423" s="1" t="n">
        <v>45303</v>
      </c>
      <c r="C423" s="1" t="n">
        <v>46170</v>
      </c>
      <c r="D423" t="inlineStr">
        <is>
          <t>ÖREBRO LÄN</t>
        </is>
      </c>
      <c r="E423" t="inlineStr">
        <is>
          <t>ASKERSUND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64013-2025</t>
        </is>
      </c>
      <c r="B424" s="1" t="n">
        <v>46021.43664351852</v>
      </c>
      <c r="C424" s="1" t="n">
        <v>46170</v>
      </c>
      <c r="D424" t="inlineStr">
        <is>
          <t>ÖREBRO LÄN</t>
        </is>
      </c>
      <c r="E424" t="inlineStr">
        <is>
          <t>ASKERSUND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56394-2024</t>
        </is>
      </c>
      <c r="B425" s="1" t="n">
        <v>45625.34609953704</v>
      </c>
      <c r="C425" s="1" t="n">
        <v>46170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1360-2022</t>
        </is>
      </c>
      <c r="B426" s="1" t="n">
        <v>44573</v>
      </c>
      <c r="C426" s="1" t="n">
        <v>46170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382-2026</t>
        </is>
      </c>
      <c r="B427" s="1" t="n">
        <v>46027.74896990741</v>
      </c>
      <c r="C427" s="1" t="n">
        <v>46170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381-2026</t>
        </is>
      </c>
      <c r="B428" s="1" t="n">
        <v>46027.74706018518</v>
      </c>
      <c r="C428" s="1" t="n">
        <v>46170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56392-2024</t>
        </is>
      </c>
      <c r="B429" s="1" t="n">
        <v>45625.34493055556</v>
      </c>
      <c r="C429" s="1" t="n">
        <v>46170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4467-2024</t>
        </is>
      </c>
      <c r="B430" s="1" t="n">
        <v>45327</v>
      </c>
      <c r="C430" s="1" t="n">
        <v>46170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1123-2026</t>
        </is>
      </c>
      <c r="B431" s="1" t="n">
        <v>46030.71020833333</v>
      </c>
      <c r="C431" s="1" t="n">
        <v>46170</v>
      </c>
      <c r="D431" t="inlineStr">
        <is>
          <t>ÖREBRO LÄN</t>
        </is>
      </c>
      <c r="E431" t="inlineStr">
        <is>
          <t>ASKERSUND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1125-2026</t>
        </is>
      </c>
      <c r="B432" s="1" t="n">
        <v>46030.71207175926</v>
      </c>
      <c r="C432" s="1" t="n">
        <v>46170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34512-2024</t>
        </is>
      </c>
      <c r="B433" s="1" t="n">
        <v>45525</v>
      </c>
      <c r="C433" s="1" t="n">
        <v>46170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34514-2024</t>
        </is>
      </c>
      <c r="B434" s="1" t="n">
        <v>45525</v>
      </c>
      <c r="C434" s="1" t="n">
        <v>46170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1127-2026</t>
        </is>
      </c>
      <c r="B435" s="1" t="n">
        <v>46030.71740740741</v>
      </c>
      <c r="C435" s="1" t="n">
        <v>46170</v>
      </c>
      <c r="D435" t="inlineStr">
        <is>
          <t>ÖREBRO LÄN</t>
        </is>
      </c>
      <c r="E435" t="inlineStr">
        <is>
          <t>ASKERSUND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8026-2025</t>
        </is>
      </c>
      <c r="B436" s="1" t="n">
        <v>45707</v>
      </c>
      <c r="C436" s="1" t="n">
        <v>46170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11492-2023</t>
        </is>
      </c>
      <c r="B437" s="1" t="n">
        <v>44993</v>
      </c>
      <c r="C437" s="1" t="n">
        <v>46170</v>
      </c>
      <c r="D437" t="inlineStr">
        <is>
          <t>ÖREBRO LÄN</t>
        </is>
      </c>
      <c r="E437" t="inlineStr">
        <is>
          <t>ASKERSUND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12697-2025</t>
        </is>
      </c>
      <c r="B438" s="1" t="n">
        <v>45733.46217592592</v>
      </c>
      <c r="C438" s="1" t="n">
        <v>46170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46170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46170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46170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2208-2026</t>
        </is>
      </c>
      <c r="B442" s="1" t="n">
        <v>46036.4891087963</v>
      </c>
      <c r="C442" s="1" t="n">
        <v>46170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1119-2026</t>
        </is>
      </c>
      <c r="B443" s="1" t="n">
        <v>46030</v>
      </c>
      <c r="C443" s="1" t="n">
        <v>46170</v>
      </c>
      <c r="D443" t="inlineStr">
        <is>
          <t>ÖREBRO LÄN</t>
        </is>
      </c>
      <c r="E443" t="inlineStr">
        <is>
          <t>ASKERSUND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1118-2026</t>
        </is>
      </c>
      <c r="B444" s="1" t="n">
        <v>46030</v>
      </c>
      <c r="C444" s="1" t="n">
        <v>46170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1130-2026</t>
        </is>
      </c>
      <c r="B445" s="1" t="n">
        <v>46030</v>
      </c>
      <c r="C445" s="1" t="n">
        <v>46170</v>
      </c>
      <c r="D445" t="inlineStr">
        <is>
          <t>ÖREBRO LÄN</t>
        </is>
      </c>
      <c r="E445" t="inlineStr">
        <is>
          <t>ASKERSUND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46170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3749-2026</t>
        </is>
      </c>
      <c r="B447" s="1" t="n">
        <v>46043.54592592592</v>
      </c>
      <c r="C447" s="1" t="n">
        <v>46170</v>
      </c>
      <c r="D447" t="inlineStr">
        <is>
          <t>ÖREBRO LÄN</t>
        </is>
      </c>
      <c r="E447" t="inlineStr">
        <is>
          <t>ASKERSUND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3526-2026</t>
        </is>
      </c>
      <c r="B448" s="1" t="n">
        <v>46042.60760416667</v>
      </c>
      <c r="C448" s="1" t="n">
        <v>46170</v>
      </c>
      <c r="D448" t="inlineStr">
        <is>
          <t>ÖREBRO LÄN</t>
        </is>
      </c>
      <c r="E448" t="inlineStr">
        <is>
          <t>ASKERSUND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46170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46170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3551-2026</t>
        </is>
      </c>
      <c r="B451" s="1" t="n">
        <v>46042.64711805555</v>
      </c>
      <c r="C451" s="1" t="n">
        <v>46170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18981-2024</t>
        </is>
      </c>
      <c r="B452" s="1" t="n">
        <v>45427.58246527778</v>
      </c>
      <c r="C452" s="1" t="n">
        <v>46170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46170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4428-2026</t>
        </is>
      </c>
      <c r="B454" s="1" t="n">
        <v>46045.61797453704</v>
      </c>
      <c r="C454" s="1" t="n">
        <v>46170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46619-2023</t>
        </is>
      </c>
      <c r="B455" s="1" t="n">
        <v>45198</v>
      </c>
      <c r="C455" s="1" t="n">
        <v>46170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11969-2023</t>
        </is>
      </c>
      <c r="B456" s="1" t="n">
        <v>44995.5728125</v>
      </c>
      <c r="C456" s="1" t="n">
        <v>46170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5065-2026</t>
        </is>
      </c>
      <c r="B457" s="1" t="n">
        <v>46049.4886574074</v>
      </c>
      <c r="C457" s="1" t="n">
        <v>46170</v>
      </c>
      <c r="D457" t="inlineStr">
        <is>
          <t>ÖREBRO LÄN</t>
        </is>
      </c>
      <c r="E457" t="inlineStr">
        <is>
          <t>ASKERSUND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23914-2024</t>
        </is>
      </c>
      <c r="B458" s="1" t="n">
        <v>45455.86207175926</v>
      </c>
      <c r="C458" s="1" t="n">
        <v>46170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11637-2024</t>
        </is>
      </c>
      <c r="B459" s="1" t="n">
        <v>45373</v>
      </c>
      <c r="C459" s="1" t="n">
        <v>46170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15806-2024</t>
        </is>
      </c>
      <c r="B460" s="1" t="n">
        <v>45404.66259259259</v>
      </c>
      <c r="C460" s="1" t="n">
        <v>46170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16952-2022</t>
        </is>
      </c>
      <c r="B461" s="1" t="n">
        <v>44676.48239583334</v>
      </c>
      <c r="C461" s="1" t="n">
        <v>46170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16953-2022</t>
        </is>
      </c>
      <c r="B462" s="1" t="n">
        <v>44676.48760416666</v>
      </c>
      <c r="C462" s="1" t="n">
        <v>46170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60141-2022</t>
        </is>
      </c>
      <c r="B463" s="1" t="n">
        <v>44909.67884259259</v>
      </c>
      <c r="C463" s="1" t="n">
        <v>46170</v>
      </c>
      <c r="D463" t="inlineStr">
        <is>
          <t>ÖREBRO LÄN</t>
        </is>
      </c>
      <c r="E463" t="inlineStr">
        <is>
          <t>ASKERSUND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29401-2022</t>
        </is>
      </c>
      <c r="B464" s="1" t="n">
        <v>44753</v>
      </c>
      <c r="C464" s="1" t="n">
        <v>46170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29104-2021</t>
        </is>
      </c>
      <c r="B465" s="1" t="n">
        <v>44358.58163194444</v>
      </c>
      <c r="C465" s="1" t="n">
        <v>46170</v>
      </c>
      <c r="D465" t="inlineStr">
        <is>
          <t>ÖREBRO LÄN</t>
        </is>
      </c>
      <c r="E465" t="inlineStr">
        <is>
          <t>ASKERSUND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7182-2026</t>
        </is>
      </c>
      <c r="B466" s="1" t="n">
        <v>46058.48521990741</v>
      </c>
      <c r="C466" s="1" t="n">
        <v>46170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12418-2023</t>
        </is>
      </c>
      <c r="B467" s="1" t="n">
        <v>44999.52805555556</v>
      </c>
      <c r="C467" s="1" t="n">
        <v>46170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12423-2023</t>
        </is>
      </c>
      <c r="B468" s="1" t="n">
        <v>44999.53216435185</v>
      </c>
      <c r="C468" s="1" t="n">
        <v>46170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15976-2023</t>
        </is>
      </c>
      <c r="B469" s="1" t="n">
        <v>45022</v>
      </c>
      <c r="C469" s="1" t="n">
        <v>46170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25749-2021</t>
        </is>
      </c>
      <c r="B470" s="1" t="n">
        <v>44343</v>
      </c>
      <c r="C470" s="1" t="n">
        <v>46170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52434-2024</t>
        </is>
      </c>
      <c r="B471" s="1" t="n">
        <v>45609.47806712963</v>
      </c>
      <c r="C471" s="1" t="n">
        <v>46170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36031-2024</t>
        </is>
      </c>
      <c r="B472" s="1" t="n">
        <v>45533.58539351852</v>
      </c>
      <c r="C472" s="1" t="n">
        <v>46170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16631-2024</t>
        </is>
      </c>
      <c r="B473" s="1" t="n">
        <v>45408.59015046297</v>
      </c>
      <c r="C473" s="1" t="n">
        <v>46170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4779-2023</t>
        </is>
      </c>
      <c r="B474" s="1" t="n">
        <v>44957</v>
      </c>
      <c r="C474" s="1" t="n">
        <v>46170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5417-2025</t>
        </is>
      </c>
      <c r="B475" s="1" t="n">
        <v>45692</v>
      </c>
      <c r="C475" s="1" t="n">
        <v>46170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46170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24078-2024</t>
        </is>
      </c>
      <c r="B477" s="1" t="n">
        <v>45456.56702546297</v>
      </c>
      <c r="C477" s="1" t="n">
        <v>46170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44494.59873842593</v>
      </c>
      <c r="C478" s="1" t="n">
        <v>46170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8988-2026</t>
        </is>
      </c>
      <c r="B479" s="1" t="n">
        <v>46069.45594907407</v>
      </c>
      <c r="C479" s="1" t="n">
        <v>46170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12421-2023</t>
        </is>
      </c>
      <c r="B480" s="1" t="n">
        <v>44999.52975694444</v>
      </c>
      <c r="C480" s="1" t="n">
        <v>46170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8961-2026</t>
        </is>
      </c>
      <c r="B481" s="1" t="n">
        <v>46069.41380787037</v>
      </c>
      <c r="C481" s="1" t="n">
        <v>46170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1004-2024</t>
        </is>
      </c>
      <c r="B482" s="1" t="n">
        <v>45301</v>
      </c>
      <c r="C482" s="1" t="n">
        <v>46170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46170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9400-2026</t>
        </is>
      </c>
      <c r="B484" s="1" t="n">
        <v>46071.38994212963</v>
      </c>
      <c r="C484" s="1" t="n">
        <v>46170</v>
      </c>
      <c r="D484" t="inlineStr">
        <is>
          <t>ÖREBRO LÄN</t>
        </is>
      </c>
      <c r="E484" t="inlineStr">
        <is>
          <t>ASKERSUND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9575-2026</t>
        </is>
      </c>
      <c r="B485" s="1" t="n">
        <v>46071.66849537037</v>
      </c>
      <c r="C485" s="1" t="n">
        <v>46170</v>
      </c>
      <c r="D485" t="inlineStr">
        <is>
          <t>ÖREBRO LÄN</t>
        </is>
      </c>
      <c r="E485" t="inlineStr">
        <is>
          <t>ASKERSUND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41094-2021</t>
        </is>
      </c>
      <c r="B486" s="1" t="n">
        <v>44422</v>
      </c>
      <c r="C486" s="1" t="n">
        <v>46170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56033-2022</t>
        </is>
      </c>
      <c r="B487" s="1" t="n">
        <v>44889.5547337963</v>
      </c>
      <c r="C487" s="1" t="n">
        <v>46170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52786-2023</t>
        </is>
      </c>
      <c r="B488" s="1" t="n">
        <v>45226</v>
      </c>
      <c r="C488" s="1" t="n">
        <v>46170</v>
      </c>
      <c r="D488" t="inlineStr">
        <is>
          <t>ÖREBRO LÄN</t>
        </is>
      </c>
      <c r="E488" t="inlineStr">
        <is>
          <t>ASKERSUND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918-2025</t>
        </is>
      </c>
      <c r="B489" s="1" t="n">
        <v>45664</v>
      </c>
      <c r="C489" s="1" t="n">
        <v>46170</v>
      </c>
      <c r="D489" t="inlineStr">
        <is>
          <t>ÖREBRO LÄN</t>
        </is>
      </c>
      <c r="E489" t="inlineStr">
        <is>
          <t>ASKERSUND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920-2025</t>
        </is>
      </c>
      <c r="B490" s="1" t="n">
        <v>45664</v>
      </c>
      <c r="C490" s="1" t="n">
        <v>46170</v>
      </c>
      <c r="D490" t="inlineStr">
        <is>
          <t>ÖREBRO LÄN</t>
        </is>
      </c>
      <c r="E490" t="inlineStr">
        <is>
          <t>ASKERSUND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38572-2023</t>
        </is>
      </c>
      <c r="B491" s="1" t="n">
        <v>45162</v>
      </c>
      <c r="C491" s="1" t="n">
        <v>46170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11229-2026</t>
        </is>
      </c>
      <c r="B492" s="1" t="n">
        <v>46080</v>
      </c>
      <c r="C492" s="1" t="n">
        <v>46170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46630-2021</t>
        </is>
      </c>
      <c r="B493" s="1" t="n">
        <v>44445</v>
      </c>
      <c r="C493" s="1" t="n">
        <v>46170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11988-2026</t>
        </is>
      </c>
      <c r="B494" s="1" t="n">
        <v>46085</v>
      </c>
      <c r="C494" s="1" t="n">
        <v>46170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28692-2022</t>
        </is>
      </c>
      <c r="B495" s="1" t="n">
        <v>44748.73148148148</v>
      </c>
      <c r="C495" s="1" t="n">
        <v>46170</v>
      </c>
      <c r="D495" t="inlineStr">
        <is>
          <t>ÖREBRO LÄN</t>
        </is>
      </c>
      <c r="E495" t="inlineStr">
        <is>
          <t>ASKERSUND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61189-2022</t>
        </is>
      </c>
      <c r="B496" s="1" t="n">
        <v>44915.51126157407</v>
      </c>
      <c r="C496" s="1" t="n">
        <v>46170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18474-2026</t>
        </is>
      </c>
      <c r="B497" s="1" t="n">
        <v>46127.43859953704</v>
      </c>
      <c r="C497" s="1" t="n">
        <v>46170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44528-2021</t>
        </is>
      </c>
      <c r="B498" s="1" t="n">
        <v>44435.62600694445</v>
      </c>
      <c r="C498" s="1" t="n">
        <v>46170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12699-2025</t>
        </is>
      </c>
      <c r="B499" s="1" t="n">
        <v>45733.4640625</v>
      </c>
      <c r="C499" s="1" t="n">
        <v>46170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2799-2024</t>
        </is>
      </c>
      <c r="B500" s="1" t="n">
        <v>45314</v>
      </c>
      <c r="C500" s="1" t="n">
        <v>46170</v>
      </c>
      <c r="D500" t="inlineStr">
        <is>
          <t>ÖREBRO LÄN</t>
        </is>
      </c>
      <c r="E500" t="inlineStr">
        <is>
          <t>ASKERSUND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32038-2024</t>
        </is>
      </c>
      <c r="B501" s="1" t="n">
        <v>45510</v>
      </c>
      <c r="C501" s="1" t="n">
        <v>46170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27428-2024</t>
        </is>
      </c>
      <c r="B502" s="1" t="n">
        <v>45473</v>
      </c>
      <c r="C502" s="1" t="n">
        <v>46170</v>
      </c>
      <c r="D502" t="inlineStr">
        <is>
          <t>ÖREBRO LÄN</t>
        </is>
      </c>
      <c r="E502" t="inlineStr">
        <is>
          <t>ASKERSUND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22511-2024</t>
        </is>
      </c>
      <c r="B503" s="1" t="n">
        <v>45447.37612268519</v>
      </c>
      <c r="C503" s="1" t="n">
        <v>46170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26662-2022</t>
        </is>
      </c>
      <c r="B504" s="1" t="n">
        <v>44739.6334375</v>
      </c>
      <c r="C504" s="1" t="n">
        <v>46170</v>
      </c>
      <c r="D504" t="inlineStr">
        <is>
          <t>ÖREBRO LÄN</t>
        </is>
      </c>
      <c r="E504" t="inlineStr">
        <is>
          <t>ASKERSUND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18409-2023</t>
        </is>
      </c>
      <c r="B505" s="1" t="n">
        <v>45042.4005787037</v>
      </c>
      <c r="C505" s="1" t="n">
        <v>46170</v>
      </c>
      <c r="D505" t="inlineStr">
        <is>
          <t>ÖREBRO LÄN</t>
        </is>
      </c>
      <c r="E505" t="inlineStr">
        <is>
          <t>ASKERSUND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34501-2024</t>
        </is>
      </c>
      <c r="B506" s="1" t="n">
        <v>45525.64034722222</v>
      </c>
      <c r="C506" s="1" t="n">
        <v>46170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65068-2023</t>
        </is>
      </c>
      <c r="B507" s="1" t="n">
        <v>45285</v>
      </c>
      <c r="C507" s="1" t="n">
        <v>46170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16643-2023</t>
        </is>
      </c>
      <c r="B508" s="1" t="n">
        <v>45030.49903935185</v>
      </c>
      <c r="C508" s="1" t="n">
        <v>46170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29131-2024</t>
        </is>
      </c>
      <c r="B509" s="1" t="n">
        <v>45481</v>
      </c>
      <c r="C509" s="1" t="n">
        <v>46170</v>
      </c>
      <c r="D509" t="inlineStr">
        <is>
          <t>ÖREBRO LÄN</t>
        </is>
      </c>
      <c r="E509" t="inlineStr">
        <is>
          <t>ASKERSUND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50599-2023</t>
        </is>
      </c>
      <c r="B510" s="1" t="n">
        <v>45217.42408564815</v>
      </c>
      <c r="C510" s="1" t="n">
        <v>46170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7371-2022</t>
        </is>
      </c>
      <c r="B511" s="1" t="n">
        <v>44606.59517361111</v>
      </c>
      <c r="C511" s="1" t="n">
        <v>46170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13046-2024</t>
        </is>
      </c>
      <c r="B512" s="1" t="n">
        <v>45385</v>
      </c>
      <c r="C512" s="1" t="n">
        <v>46170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56386-2024</t>
        </is>
      </c>
      <c r="B513" s="1" t="n">
        <v>45625.34328703704</v>
      </c>
      <c r="C513" s="1" t="n">
        <v>46170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13648-2026</t>
        </is>
      </c>
      <c r="B514" s="1" t="n">
        <v>46095</v>
      </c>
      <c r="C514" s="1" t="n">
        <v>46170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33660-2023</t>
        </is>
      </c>
      <c r="B515" s="1" t="n">
        <v>45132.59460648148</v>
      </c>
      <c r="C515" s="1" t="n">
        <v>46170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5518-2022</t>
        </is>
      </c>
      <c r="B516" s="1" t="n">
        <v>44595</v>
      </c>
      <c r="C516" s="1" t="n">
        <v>46170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28819-2023</t>
        </is>
      </c>
      <c r="B517" s="1" t="n">
        <v>45104.38340277778</v>
      </c>
      <c r="C517" s="1" t="n">
        <v>46170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28897-2023</t>
        </is>
      </c>
      <c r="B518" s="1" t="n">
        <v>45104</v>
      </c>
      <c r="C518" s="1" t="n">
        <v>46170</v>
      </c>
      <c r="D518" t="inlineStr">
        <is>
          <t>ÖREBRO LÄN</t>
        </is>
      </c>
      <c r="E518" t="inlineStr">
        <is>
          <t>ASKERSUND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31265-2024</t>
        </is>
      </c>
      <c r="B519" s="1" t="n">
        <v>45503.97861111111</v>
      </c>
      <c r="C519" s="1" t="n">
        <v>46170</v>
      </c>
      <c r="D519" t="inlineStr">
        <is>
          <t>ÖREBRO LÄN</t>
        </is>
      </c>
      <c r="E519" t="inlineStr">
        <is>
          <t>ASKERSUND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14225-2026</t>
        </is>
      </c>
      <c r="B520" s="1" t="n">
        <v>46099.57572916667</v>
      </c>
      <c r="C520" s="1" t="n">
        <v>46170</v>
      </c>
      <c r="D520" t="inlineStr">
        <is>
          <t>ÖREBRO LÄN</t>
        </is>
      </c>
      <c r="E520" t="inlineStr">
        <is>
          <t>ASKERSUND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20902-2026</t>
        </is>
      </c>
      <c r="B521" s="1" t="n">
        <v>46142.45960648148</v>
      </c>
      <c r="C521" s="1" t="n">
        <v>46170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20893-2026</t>
        </is>
      </c>
      <c r="B522" s="1" t="n">
        <v>46142.44819444444</v>
      </c>
      <c r="C522" s="1" t="n">
        <v>46170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20918-2026</t>
        </is>
      </c>
      <c r="B523" s="1" t="n">
        <v>46142.47591435185</v>
      </c>
      <c r="C523" s="1" t="n">
        <v>46170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11489-2023</t>
        </is>
      </c>
      <c r="B524" s="1" t="n">
        <v>44993.64357638889</v>
      </c>
      <c r="C524" s="1" t="n">
        <v>46170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58143-2021</t>
        </is>
      </c>
      <c r="B525" s="1" t="n">
        <v>44487</v>
      </c>
      <c r="C525" s="1" t="n">
        <v>46170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20916-2026</t>
        </is>
      </c>
      <c r="B526" s="1" t="n">
        <v>46142.47380787037</v>
      </c>
      <c r="C526" s="1" t="n">
        <v>46170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43830-2024</t>
        </is>
      </c>
      <c r="B527" s="1" t="n">
        <v>45572.31850694444</v>
      </c>
      <c r="C527" s="1" t="n">
        <v>46170</v>
      </c>
      <c r="D527" t="inlineStr">
        <is>
          <t>ÖREBRO LÄN</t>
        </is>
      </c>
      <c r="E527" t="inlineStr">
        <is>
          <t>ASKERSUND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59560-2022</t>
        </is>
      </c>
      <c r="B528" s="1" t="n">
        <v>44907.60194444445</v>
      </c>
      <c r="C528" s="1" t="n">
        <v>46170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30610-2024</t>
        </is>
      </c>
      <c r="B529" s="1" t="n">
        <v>45495.3559375</v>
      </c>
      <c r="C529" s="1" t="n">
        <v>46170</v>
      </c>
      <c r="D529" t="inlineStr">
        <is>
          <t>ÖREBRO LÄN</t>
        </is>
      </c>
      <c r="E529" t="inlineStr">
        <is>
          <t>ASKERSUND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11065-2025</t>
        </is>
      </c>
      <c r="B530" s="1" t="n">
        <v>45723.52491898148</v>
      </c>
      <c r="C530" s="1" t="n">
        <v>46170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11094-2025</t>
        </is>
      </c>
      <c r="B531" s="1" t="n">
        <v>45723.58001157407</v>
      </c>
      <c r="C531" s="1" t="n">
        <v>46170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26412-2024</t>
        </is>
      </c>
      <c r="B532" s="1" t="n">
        <v>45469.45405092592</v>
      </c>
      <c r="C532" s="1" t="n">
        <v>46170</v>
      </c>
      <c r="D532" t="inlineStr">
        <is>
          <t>ÖREBRO LÄN</t>
        </is>
      </c>
      <c r="E532" t="inlineStr">
        <is>
          <t>ASKERSUND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32215-2024</t>
        </is>
      </c>
      <c r="B533" s="1" t="n">
        <v>45511.89145833333</v>
      </c>
      <c r="C533" s="1" t="n">
        <v>46170</v>
      </c>
      <c r="D533" t="inlineStr">
        <is>
          <t>ÖREBRO LÄN</t>
        </is>
      </c>
      <c r="E533" t="inlineStr">
        <is>
          <t>ASKERSUND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44764-2023</t>
        </is>
      </c>
      <c r="B534" s="1" t="n">
        <v>45190.43935185186</v>
      </c>
      <c r="C534" s="1" t="n">
        <v>46170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54649-2023</t>
        </is>
      </c>
      <c r="B535" s="1" t="n">
        <v>45235</v>
      </c>
      <c r="C535" s="1" t="n">
        <v>46170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13893-2024</t>
        </is>
      </c>
      <c r="B536" s="1" t="n">
        <v>45391.63415509259</v>
      </c>
      <c r="C536" s="1" t="n">
        <v>46170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54006-2023</t>
        </is>
      </c>
      <c r="B537" s="1" t="n">
        <v>45231.68974537037</v>
      </c>
      <c r="C537" s="1" t="n">
        <v>46170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9169-2022</t>
        </is>
      </c>
      <c r="B538" s="1" t="n">
        <v>44615</v>
      </c>
      <c r="C538" s="1" t="n">
        <v>46170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6828-2022</t>
        </is>
      </c>
      <c r="B539" s="1" t="n">
        <v>44602.59796296297</v>
      </c>
      <c r="C539" s="1" t="n">
        <v>46170</v>
      </c>
      <c r="D539" t="inlineStr">
        <is>
          <t>ÖREBRO LÄN</t>
        </is>
      </c>
      <c r="E539" t="inlineStr">
        <is>
          <t>ASKERSUND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10204-2025</t>
        </is>
      </c>
      <c r="B540" s="1" t="n">
        <v>45719.76690972222</v>
      </c>
      <c r="C540" s="1" t="n">
        <v>46170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34139-2022</t>
        </is>
      </c>
      <c r="B541" s="1" t="n">
        <v>44791</v>
      </c>
      <c r="C541" s="1" t="n">
        <v>46170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16267-2023</t>
        </is>
      </c>
      <c r="B542" s="1" t="n">
        <v>45028.51484953704</v>
      </c>
      <c r="C542" s="1" t="n">
        <v>46170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16638-2026</t>
        </is>
      </c>
      <c r="B543" s="1" t="n">
        <v>46112.62819444444</v>
      </c>
      <c r="C543" s="1" t="n">
        <v>46170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22317-2026</t>
        </is>
      </c>
      <c r="B544" s="1" t="n">
        <v>46154.49802083334</v>
      </c>
      <c r="C544" s="1" t="n">
        <v>46170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11008-2024</t>
        </is>
      </c>
      <c r="B545" s="1" t="n">
        <v>45370.59278935185</v>
      </c>
      <c r="C545" s="1" t="n">
        <v>46170</v>
      </c>
      <c r="D545" t="inlineStr">
        <is>
          <t>ÖREBRO LÄN</t>
        </is>
      </c>
      <c r="E545" t="inlineStr">
        <is>
          <t>ASKERSUND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16595-2026</t>
        </is>
      </c>
      <c r="B546" s="1" t="n">
        <v>46112.59224537037</v>
      </c>
      <c r="C546" s="1" t="n">
        <v>46170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16602-2026</t>
        </is>
      </c>
      <c r="B547" s="1" t="n">
        <v>46112.59780092593</v>
      </c>
      <c r="C547" s="1" t="n">
        <v>46170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16633-2026</t>
        </is>
      </c>
      <c r="B548" s="1" t="n">
        <v>46112.6225</v>
      </c>
      <c r="C548" s="1" t="n">
        <v>46170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22814-2024</t>
        </is>
      </c>
      <c r="B549" s="1" t="n">
        <v>45448</v>
      </c>
      <c r="C549" s="1" t="n">
        <v>46170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16618-2026</t>
        </is>
      </c>
      <c r="B550" s="1" t="n">
        <v>46112.60657407407</v>
      </c>
      <c r="C550" s="1" t="n">
        <v>46170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30102-2024</t>
        </is>
      </c>
      <c r="B551" s="1" t="n">
        <v>45489.41846064815</v>
      </c>
      <c r="C551" s="1" t="n">
        <v>46170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16630-2026</t>
        </is>
      </c>
      <c r="B552" s="1" t="n">
        <v>46112.61958333333</v>
      </c>
      <c r="C552" s="1" t="n">
        <v>46170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16639-2026</t>
        </is>
      </c>
      <c r="B553" s="1" t="n">
        <v>46112.63101851852</v>
      </c>
      <c r="C553" s="1" t="n">
        <v>46170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16629-2026</t>
        </is>
      </c>
      <c r="B554" s="1" t="n">
        <v>46112.61761574074</v>
      </c>
      <c r="C554" s="1" t="n">
        <v>46170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31668-2024</t>
        </is>
      </c>
      <c r="B555" s="1" t="n">
        <v>45506.94680555556</v>
      </c>
      <c r="C555" s="1" t="n">
        <v>46170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16615-2026</t>
        </is>
      </c>
      <c r="B556" s="1" t="n">
        <v>46112.60508101852</v>
      </c>
      <c r="C556" s="1" t="n">
        <v>46170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45210-2023</t>
        </is>
      </c>
      <c r="B557" s="1" t="n">
        <v>45191</v>
      </c>
      <c r="C557" s="1" t="n">
        <v>46170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11066-2025</t>
        </is>
      </c>
      <c r="B558" s="1" t="n">
        <v>45723.52548611111</v>
      </c>
      <c r="C558" s="1" t="n">
        <v>46170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48458-2021</t>
        </is>
      </c>
      <c r="B559" s="1" t="n">
        <v>44452</v>
      </c>
      <c r="C559" s="1" t="n">
        <v>46170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12735-2022</t>
        </is>
      </c>
      <c r="B560" s="1" t="n">
        <v>44641</v>
      </c>
      <c r="C560" s="1" t="n">
        <v>46170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22769-2026</t>
        </is>
      </c>
      <c r="B561" s="1" t="n">
        <v>46157.4937037037</v>
      </c>
      <c r="C561" s="1" t="n">
        <v>46170</v>
      </c>
      <c r="D561" t="inlineStr">
        <is>
          <t>ÖREBRO LÄN</t>
        </is>
      </c>
      <c r="E561" t="inlineStr">
        <is>
          <t>ASKERSUND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12426-2023</t>
        </is>
      </c>
      <c r="B562" s="1" t="n">
        <v>44999.53523148148</v>
      </c>
      <c r="C562" s="1" t="n">
        <v>46170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52292-2021</t>
        </is>
      </c>
      <c r="B563" s="1" t="n">
        <v>44463.67348379629</v>
      </c>
      <c r="C563" s="1" t="n">
        <v>46170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53019-2021</t>
        </is>
      </c>
      <c r="B564" s="1" t="n">
        <v>44467</v>
      </c>
      <c r="C564" s="1" t="n">
        <v>46170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17503-2026</t>
        </is>
      </c>
      <c r="B565" s="1" t="n">
        <v>46120.61810185185</v>
      </c>
      <c r="C565" s="1" t="n">
        <v>46170</v>
      </c>
      <c r="D565" t="inlineStr">
        <is>
          <t>ÖREBRO LÄN</t>
        </is>
      </c>
      <c r="E565" t="inlineStr">
        <is>
          <t>ASKERSUND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8210-2022</t>
        </is>
      </c>
      <c r="B566" s="1" t="n">
        <v>44609</v>
      </c>
      <c r="C566" s="1" t="n">
        <v>46170</v>
      </c>
      <c r="D566" t="inlineStr">
        <is>
          <t>ÖREBRO LÄN</t>
        </is>
      </c>
      <c r="E566" t="inlineStr">
        <is>
          <t>ASKERSUND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46174-2021</t>
        </is>
      </c>
      <c r="B567" s="1" t="n">
        <v>44442</v>
      </c>
      <c r="C567" s="1" t="n">
        <v>46170</v>
      </c>
      <c r="D567" t="inlineStr">
        <is>
          <t>ÖREBRO LÄN</t>
        </is>
      </c>
      <c r="E567" t="inlineStr">
        <is>
          <t>ASKERSUND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38556-2024</t>
        </is>
      </c>
      <c r="B568" s="1" t="n">
        <v>45546.61826388889</v>
      </c>
      <c r="C568" s="1" t="n">
        <v>46170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16642-2023</t>
        </is>
      </c>
      <c r="B569" s="1" t="n">
        <v>45030</v>
      </c>
      <c r="C569" s="1" t="n">
        <v>46170</v>
      </c>
      <c r="D569" t="inlineStr">
        <is>
          <t>ÖREBRO LÄN</t>
        </is>
      </c>
      <c r="E569" t="inlineStr">
        <is>
          <t>ASKERSUND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6902-2023</t>
        </is>
      </c>
      <c r="B570" s="1" t="n">
        <v>44967.51108796296</v>
      </c>
      <c r="C570" s="1" t="n">
        <v>46170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23568-2026</t>
        </is>
      </c>
      <c r="B571" s="1" t="n">
        <v>46163.59427083333</v>
      </c>
      <c r="C571" s="1" t="n">
        <v>46170</v>
      </c>
      <c r="D571" t="inlineStr">
        <is>
          <t>ÖREBRO LÄN</t>
        </is>
      </c>
      <c r="E571" t="inlineStr">
        <is>
          <t>ASKERSUND</t>
        </is>
      </c>
      <c r="F571" t="inlineStr">
        <is>
          <t>Övriga Aktiebolag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3675-2023</t>
        </is>
      </c>
      <c r="B572" s="1" t="n">
        <v>44950</v>
      </c>
      <c r="C572" s="1" t="n">
        <v>46170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3680-2023</t>
        </is>
      </c>
      <c r="B573" s="1" t="n">
        <v>44950.90216435185</v>
      </c>
      <c r="C573" s="1" t="n">
        <v>46170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10076-2024</t>
        </is>
      </c>
      <c r="B574" s="1" t="n">
        <v>45364.41105324074</v>
      </c>
      <c r="C574" s="1" t="n">
        <v>46170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23448-2026</t>
        </is>
      </c>
      <c r="B575" s="1" t="n">
        <v>46163.38210648148</v>
      </c>
      <c r="C575" s="1" t="n">
        <v>46170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47202-2024</t>
        </is>
      </c>
      <c r="B576" s="1" t="n">
        <v>45586.63421296296</v>
      </c>
      <c r="C576" s="1" t="n">
        <v>46170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23579-2026</t>
        </is>
      </c>
      <c r="B577" s="1" t="n">
        <v>46163.60822916667</v>
      </c>
      <c r="C577" s="1" t="n">
        <v>46170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42198-2021</t>
        </is>
      </c>
      <c r="B578" s="1" t="n">
        <v>44426</v>
      </c>
      <c r="C578" s="1" t="n">
        <v>46170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23577-2026</t>
        </is>
      </c>
      <c r="B579" s="1" t="n">
        <v>46163.60369212963</v>
      </c>
      <c r="C579" s="1" t="n">
        <v>46170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62319-2023</t>
        </is>
      </c>
      <c r="B580" s="1" t="n">
        <v>45267.75094907408</v>
      </c>
      <c r="C580" s="1" t="n">
        <v>46170</v>
      </c>
      <c r="D580" t="inlineStr">
        <is>
          <t>ÖREBRO LÄN</t>
        </is>
      </c>
      <c r="E580" t="inlineStr">
        <is>
          <t>ASKERSUND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8366-2025</t>
        </is>
      </c>
      <c r="B581" s="1" t="n">
        <v>45708</v>
      </c>
      <c r="C581" s="1" t="n">
        <v>46170</v>
      </c>
      <c r="D581" t="inlineStr">
        <is>
          <t>ÖREBRO LÄN</t>
        </is>
      </c>
      <c r="E581" t="inlineStr">
        <is>
          <t>ASKERSUND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54723-2021</t>
        </is>
      </c>
      <c r="B582" s="1" t="n">
        <v>44473.82302083333</v>
      </c>
      <c r="C582" s="1" t="n">
        <v>46170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58420-2021</t>
        </is>
      </c>
      <c r="B583" s="1" t="n">
        <v>44488</v>
      </c>
      <c r="C583" s="1" t="n">
        <v>46170</v>
      </c>
      <c r="D583" t="inlineStr">
        <is>
          <t>ÖREBRO LÄN</t>
        </is>
      </c>
      <c r="E583" t="inlineStr">
        <is>
          <t>ASKERSUND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9530-2025</t>
        </is>
      </c>
      <c r="B584" s="1" t="n">
        <v>45714</v>
      </c>
      <c r="C584" s="1" t="n">
        <v>46170</v>
      </c>
      <c r="D584" t="inlineStr">
        <is>
          <t>ÖREBRO LÄN</t>
        </is>
      </c>
      <c r="E584" t="inlineStr">
        <is>
          <t>ASKERSUND</t>
        </is>
      </c>
      <c r="F584" t="inlineStr">
        <is>
          <t>Övriga Aktiebolag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23558-2026</t>
        </is>
      </c>
      <c r="B585" s="1" t="n">
        <v>46163.58185185185</v>
      </c>
      <c r="C585" s="1" t="n">
        <v>46170</v>
      </c>
      <c r="D585" t="inlineStr">
        <is>
          <t>ÖREBRO LÄN</t>
        </is>
      </c>
      <c r="E585" t="inlineStr">
        <is>
          <t>ASKERSUND</t>
        </is>
      </c>
      <c r="F585" t="inlineStr">
        <is>
          <t>Övriga Aktiebolag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41762-2021</t>
        </is>
      </c>
      <c r="B586" s="1" t="n">
        <v>44425.63494212963</v>
      </c>
      <c r="C586" s="1" t="n">
        <v>46170</v>
      </c>
      <c r="D586" t="inlineStr">
        <is>
          <t>ÖREBRO LÄN</t>
        </is>
      </c>
      <c r="E586" t="inlineStr">
        <is>
          <t>ASKERSUND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18232-2026</t>
        </is>
      </c>
      <c r="B587" s="1" t="n">
        <v>46126.33628472222</v>
      </c>
      <c r="C587" s="1" t="n">
        <v>46170</v>
      </c>
      <c r="D587" t="inlineStr">
        <is>
          <t>ÖREBRO LÄN</t>
        </is>
      </c>
      <c r="E587" t="inlineStr">
        <is>
          <t>ASKERSUND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22198-2026</t>
        </is>
      </c>
      <c r="B588" s="1" t="n">
        <v>46153</v>
      </c>
      <c r="C588" s="1" t="n">
        <v>46170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73579-2021</t>
        </is>
      </c>
      <c r="B589" s="1" t="n">
        <v>44552.34407407408</v>
      </c>
      <c r="C589" s="1" t="n">
        <v>46170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18208-2026</t>
        </is>
      </c>
      <c r="B590" s="1" t="n">
        <v>46125.84974537037</v>
      </c>
      <c r="C590" s="1" t="n">
        <v>46170</v>
      </c>
      <c r="D590" t="inlineStr">
        <is>
          <t>ÖREBRO LÄN</t>
        </is>
      </c>
      <c r="E590" t="inlineStr">
        <is>
          <t>ASKERSUND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18400-2026</t>
        </is>
      </c>
      <c r="B591" s="1" t="n">
        <v>46126.66506944445</v>
      </c>
      <c r="C591" s="1" t="n">
        <v>46170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32214-2024</t>
        </is>
      </c>
      <c r="B592" s="1" t="n">
        <v>45511</v>
      </c>
      <c r="C592" s="1" t="n">
        <v>46170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52518-2022</t>
        </is>
      </c>
      <c r="B593" s="1" t="n">
        <v>44874</v>
      </c>
      <c r="C593" s="1" t="n">
        <v>46170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13379-2025</t>
        </is>
      </c>
      <c r="B594" s="1" t="n">
        <v>45735.67546296296</v>
      </c>
      <c r="C594" s="1" t="n">
        <v>46170</v>
      </c>
      <c r="D594" t="inlineStr">
        <is>
          <t>ÖREBRO LÄN</t>
        </is>
      </c>
      <c r="E594" t="inlineStr">
        <is>
          <t>ASKERSUND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4474-2024</t>
        </is>
      </c>
      <c r="B595" s="1" t="n">
        <v>45327</v>
      </c>
      <c r="C595" s="1" t="n">
        <v>46170</v>
      </c>
      <c r="D595" t="inlineStr">
        <is>
          <t>ÖREBRO LÄN</t>
        </is>
      </c>
      <c r="E595" t="inlineStr">
        <is>
          <t>ASKERSUND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45339-2022</t>
        </is>
      </c>
      <c r="B596" s="1" t="n">
        <v>44844</v>
      </c>
      <c r="C596" s="1" t="n">
        <v>46170</v>
      </c>
      <c r="D596" t="inlineStr">
        <is>
          <t>ÖREBRO LÄN</t>
        </is>
      </c>
      <c r="E596" t="inlineStr">
        <is>
          <t>ASKERSUND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11968-2023</t>
        </is>
      </c>
      <c r="B597" s="1" t="n">
        <v>44995.5708912037</v>
      </c>
      <c r="C597" s="1" t="n">
        <v>46170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29993-2023</t>
        </is>
      </c>
      <c r="B598" s="1" t="n">
        <v>45109.58806712963</v>
      </c>
      <c r="C598" s="1" t="n">
        <v>46170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43471-2023</t>
        </is>
      </c>
      <c r="B599" s="1" t="n">
        <v>45184.41854166667</v>
      </c>
      <c r="C599" s="1" t="n">
        <v>46170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58155-2021</t>
        </is>
      </c>
      <c r="B600" s="1" t="n">
        <v>44487</v>
      </c>
      <c r="C600" s="1" t="n">
        <v>46170</v>
      </c>
      <c r="D600" t="inlineStr">
        <is>
          <t>ÖREBRO LÄN</t>
        </is>
      </c>
      <c r="E600" t="inlineStr">
        <is>
          <t>ASKERSUND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56395-2024</t>
        </is>
      </c>
      <c r="B601" s="1" t="n">
        <v>45625.34810185185</v>
      </c>
      <c r="C601" s="1" t="n">
        <v>46170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25808-2022</t>
        </is>
      </c>
      <c r="B602" s="1" t="n">
        <v>44733</v>
      </c>
      <c r="C602" s="1" t="n">
        <v>46170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44976-2021</t>
        </is>
      </c>
      <c r="B603" s="1" t="n">
        <v>44438</v>
      </c>
      <c r="C603" s="1" t="n">
        <v>46170</v>
      </c>
      <c r="D603" t="inlineStr">
        <is>
          <t>ÖREBRO LÄN</t>
        </is>
      </c>
      <c r="E603" t="inlineStr">
        <is>
          <t>ASKERSUND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29116-2024</t>
        </is>
      </c>
      <c r="B604" s="1" t="n">
        <v>45481.97215277778</v>
      </c>
      <c r="C604" s="1" t="n">
        <v>46170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6900-2023</t>
        </is>
      </c>
      <c r="B605" s="1" t="n">
        <v>44967.5105787037</v>
      </c>
      <c r="C605" s="1" t="n">
        <v>46170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61517-2021</t>
        </is>
      </c>
      <c r="B606" s="1" t="n">
        <v>44501</v>
      </c>
      <c r="C606" s="1" t="n">
        <v>46170</v>
      </c>
      <c r="D606" t="inlineStr">
        <is>
          <t>ÖREBRO LÄN</t>
        </is>
      </c>
      <c r="E606" t="inlineStr">
        <is>
          <t>ASKERSUND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51239-2021</t>
        </is>
      </c>
      <c r="B607" s="1" t="n">
        <v>44461.52310185185</v>
      </c>
      <c r="C607" s="1" t="n">
        <v>46170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12895-2022</t>
        </is>
      </c>
      <c r="B608" s="1" t="n">
        <v>44642</v>
      </c>
      <c r="C608" s="1" t="n">
        <v>46170</v>
      </c>
      <c r="D608" t="inlineStr">
        <is>
          <t>ÖREBRO LÄN</t>
        </is>
      </c>
      <c r="E608" t="inlineStr">
        <is>
          <t>ASKERSUND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8047-2025</t>
        </is>
      </c>
      <c r="B609" s="1" t="n">
        <v>45707</v>
      </c>
      <c r="C609" s="1" t="n">
        <v>46170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8055-2025</t>
        </is>
      </c>
      <c r="B610" s="1" t="n">
        <v>45707</v>
      </c>
      <c r="C610" s="1" t="n">
        <v>46170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13780-2023</t>
        </is>
      </c>
      <c r="B611" s="1" t="n">
        <v>45007.47386574074</v>
      </c>
      <c r="C611" s="1" t="n">
        <v>46170</v>
      </c>
      <c r="D611" t="inlineStr">
        <is>
          <t>ÖREBRO LÄN</t>
        </is>
      </c>
      <c r="E611" t="inlineStr">
        <is>
          <t>ASKERSUND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59587-2023</t>
        </is>
      </c>
      <c r="B612" s="1" t="n">
        <v>45254</v>
      </c>
      <c r="C612" s="1" t="n">
        <v>46170</v>
      </c>
      <c r="D612" t="inlineStr">
        <is>
          <t>ÖREBRO LÄN</t>
        </is>
      </c>
      <c r="E612" t="inlineStr">
        <is>
          <t>ASKERSUND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60959-2021</t>
        </is>
      </c>
      <c r="B613" s="1" t="n">
        <v>44497</v>
      </c>
      <c r="C613" s="1" t="n">
        <v>46170</v>
      </c>
      <c r="D613" t="inlineStr">
        <is>
          <t>ÖREBRO LÄN</t>
        </is>
      </c>
      <c r="E613" t="inlineStr">
        <is>
          <t>ASKERSUND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7872-2025</t>
        </is>
      </c>
      <c r="B614" s="1" t="n">
        <v>45706</v>
      </c>
      <c r="C614" s="1" t="n">
        <v>46170</v>
      </c>
      <c r="D614" t="inlineStr">
        <is>
          <t>ÖREBRO LÄN</t>
        </is>
      </c>
      <c r="E614" t="inlineStr">
        <is>
          <t>ASKERSUND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50014-2021</t>
        </is>
      </c>
      <c r="B615" s="1" t="n">
        <v>44456.4811574074</v>
      </c>
      <c r="C615" s="1" t="n">
        <v>46170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29127-2024</t>
        </is>
      </c>
      <c r="B616" s="1" t="n">
        <v>45481</v>
      </c>
      <c r="C616" s="1" t="n">
        <v>46170</v>
      </c>
      <c r="D616" t="inlineStr">
        <is>
          <t>ÖREBRO LÄN</t>
        </is>
      </c>
      <c r="E616" t="inlineStr">
        <is>
          <t>ASKERSUND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12732-2022</t>
        </is>
      </c>
      <c r="B617" s="1" t="n">
        <v>44641</v>
      </c>
      <c r="C617" s="1" t="n">
        <v>46170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59562-2022</t>
        </is>
      </c>
      <c r="B618" s="1" t="n">
        <v>44907.60333333333</v>
      </c>
      <c r="C618" s="1" t="n">
        <v>46170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41540-2024</t>
        </is>
      </c>
      <c r="B619" s="1" t="n">
        <v>45560.50434027778</v>
      </c>
      <c r="C619" s="1" t="n">
        <v>46170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916-2025</t>
        </is>
      </c>
      <c r="B620" s="1" t="n">
        <v>45664</v>
      </c>
      <c r="C620" s="1" t="n">
        <v>46170</v>
      </c>
      <c r="D620" t="inlineStr">
        <is>
          <t>ÖREBRO LÄN</t>
        </is>
      </c>
      <c r="E620" t="inlineStr">
        <is>
          <t>ASKERSUND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919-2025</t>
        </is>
      </c>
      <c r="B621" s="1" t="n">
        <v>45664</v>
      </c>
      <c r="C621" s="1" t="n">
        <v>46170</v>
      </c>
      <c r="D621" t="inlineStr">
        <is>
          <t>ÖREBRO LÄN</t>
        </is>
      </c>
      <c r="E621" t="inlineStr">
        <is>
          <t>ASKERSUND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21045-2025</t>
        </is>
      </c>
      <c r="B622" s="1" t="n">
        <v>45777.55422453704</v>
      </c>
      <c r="C622" s="1" t="n">
        <v>46170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21041-2025</t>
        </is>
      </c>
      <c r="B623" s="1" t="n">
        <v>45777.54607638889</v>
      </c>
      <c r="C623" s="1" t="n">
        <v>46170</v>
      </c>
      <c r="D623" t="inlineStr">
        <is>
          <t>ÖREBRO LÄN</t>
        </is>
      </c>
      <c r="E623" t="inlineStr">
        <is>
          <t>ASKERSUND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21048-2025</t>
        </is>
      </c>
      <c r="B624" s="1" t="n">
        <v>45777.55945601852</v>
      </c>
      <c r="C624" s="1" t="n">
        <v>46170</v>
      </c>
      <c r="D624" t="inlineStr">
        <is>
          <t>ÖREBRO LÄN</t>
        </is>
      </c>
      <c r="E624" t="inlineStr">
        <is>
          <t>ASKERSUND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50416-2024</t>
        </is>
      </c>
      <c r="B625" s="1" t="n">
        <v>45601.37609953704</v>
      </c>
      <c r="C625" s="1" t="n">
        <v>46170</v>
      </c>
      <c r="D625" t="inlineStr">
        <is>
          <t>ÖREBRO LÄN</t>
        </is>
      </c>
      <c r="E625" t="inlineStr">
        <is>
          <t>ASKERSUND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41073-2024</t>
        </is>
      </c>
      <c r="B626" s="1" t="n">
        <v>45559.39498842593</v>
      </c>
      <c r="C626" s="1" t="n">
        <v>46170</v>
      </c>
      <c r="D626" t="inlineStr">
        <is>
          <t>ÖREBRO LÄN</t>
        </is>
      </c>
      <c r="E626" t="inlineStr">
        <is>
          <t>ASKERSUND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1341-2024</t>
        </is>
      </c>
      <c r="B627" s="1" t="n">
        <v>45303.44383101852</v>
      </c>
      <c r="C627" s="1" t="n">
        <v>46170</v>
      </c>
      <c r="D627" t="inlineStr">
        <is>
          <t>ÖREBRO LÄN</t>
        </is>
      </c>
      <c r="E627" t="inlineStr">
        <is>
          <t>ASKERSUND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2026-05-28T10:50:31Z</dcterms:created>
  <dcterms:modified xmlns:dcterms="http://purl.org/dc/terms/" xmlns:xsi="http://www.w3.org/2001/XMLSchema-instance" xsi:type="dcterms:W3CDTF">2026-05-28T10:50:32Z</dcterms:modified>
</cp:coreProperties>
</file>