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46326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46326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46326</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46326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46326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46326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46326</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46326</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46326</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46326</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46326</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46326</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46326</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30189-2022</t>
        </is>
      </c>
      <c r="B15" t="inlineStr">
        <is>
          <t>avverkningsanmälan</t>
        </is>
      </c>
      <c r="C15" t="inlineStr">
        <is>
          <t>Föryngringsavverkning</t>
        </is>
      </c>
      <c r="D15" s="1" t="n">
        <v>44757</v>
      </c>
      <c r="E15" s="1" t="n">
        <v>46326</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18263-2026</t>
        </is>
      </c>
      <c r="B16" t="inlineStr">
        <is>
          <t>avverkningsanmälan</t>
        </is>
      </c>
      <c r="C16" t="inlineStr">
        <is>
          <t>Föryngringsavverkning</t>
        </is>
      </c>
      <c r="D16" s="1" t="n">
        <v>46126</v>
      </c>
      <c r="E16" s="1" t="n">
        <v>46326</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46326</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401-2023</t>
        </is>
      </c>
      <c r="B18" t="inlineStr">
        <is>
          <t>avverkningsanmälan</t>
        </is>
      </c>
      <c r="C18" t="inlineStr">
        <is>
          <t>Föryngringsavverkning</t>
        </is>
      </c>
      <c r="D18" s="1" t="n">
        <v>44929</v>
      </c>
      <c r="E18" s="1" t="n">
        <v>46326</v>
      </c>
      <c r="F18" t="inlineStr">
        <is>
          <t>ÖREBRO LÄN</t>
        </is>
      </c>
      <c r="G18" t="inlineStr">
        <is>
          <t>ASKERSUND</t>
        </is>
      </c>
      <c r="H18" t="inlineStr">
        <is>
          <t>Sveaskog</t>
        </is>
      </c>
      <c r="I18" t="n">
        <v>3.6</v>
      </c>
      <c r="J18" t="n">
        <v>5</v>
      </c>
      <c r="K18" t="n">
        <v>0</v>
      </c>
      <c r="L18" t="n">
        <v>3</v>
      </c>
      <c r="M18" t="n">
        <v>0</v>
      </c>
      <c r="N18" t="n">
        <v>0</v>
      </c>
      <c r="O18" t="n">
        <v>0</v>
      </c>
      <c r="P18" t="n">
        <v>0</v>
      </c>
      <c r="Q18" t="n">
        <v>3</v>
      </c>
      <c r="R18" t="n">
        <v>0</v>
      </c>
      <c r="S18" t="n">
        <v>6</v>
      </c>
      <c r="T18" t="n">
        <v>6</v>
      </c>
      <c r="U18" t="n">
        <v>6</v>
      </c>
      <c r="V18" s="2" t="inlineStr">
        <is>
          <t>Blanksvart spiklav
Nordfladdermus
Talltita
Mattlummer
Vanlig groda
Fläcknycklar</t>
        </is>
      </c>
      <c r="W18">
        <f>HYPERLINK("https://klasma.github.io/Logging_1882/artfynd/A 401-2023 artfynd.xlsx", "A 401-2023")</f>
        <v/>
      </c>
      <c r="X18">
        <f>HYPERLINK("https://klasma.github.io/Logging_1882/kartor/A 401-2023 karta.png", "A 401-2023")</f>
        <v/>
      </c>
      <c r="Y18">
        <f>HYPERLINK("https://klasma.github.io/Logging_1882/kartor_geotiff/A 401-2023 georefererad karta.tif", "A 401-2023")</f>
        <v/>
      </c>
      <c r="AA18">
        <f>HYPERLINK("https://klasma.github.io/Logging_1882/klagomål/A 401-2023 FSC-klagomål.docx", "A 401-2023")</f>
        <v/>
      </c>
      <c r="AB18">
        <f>HYPERLINK("https://klasma.github.io/Logging_1882/klagomålsmail/A 401-2023 FSC-klagomål mail.docx", "A 401-2023")</f>
        <v/>
      </c>
      <c r="AC18">
        <f>HYPERLINK("https://klasma.github.io/Logging_1882/tillsyn/A 401-2023 tillsynsbegäran.docx", "A 401-2023")</f>
        <v/>
      </c>
      <c r="AD18">
        <f>HYPERLINK("https://klasma.github.io/Logging_1882/tillsynsmail/A 401-2023 tillsynsbegäran mail.docx", "A 401-2023")</f>
        <v/>
      </c>
      <c r="AE18">
        <f>HYPERLINK("https://klasma.github.io/Logging_1882/fåglar/A 401-2023 prioriterade fågelarter.docx", "A 401-2023")</f>
        <v/>
      </c>
    </row>
    <row r="19" ht="15" customHeight="1">
      <c r="A19" t="inlineStr">
        <is>
          <t>A 38246-2026</t>
        </is>
      </c>
      <c r="B19" t="inlineStr">
        <is>
          <t>avverkningsanmälan</t>
        </is>
      </c>
      <c r="C19" t="inlineStr">
        <is>
          <t>Föryngringsavverkning</t>
        </is>
      </c>
      <c r="D19" s="1" t="n">
        <v>46281</v>
      </c>
      <c r="E19" s="1" t="n">
        <v>46326</v>
      </c>
      <c r="F19" t="inlineStr">
        <is>
          <t>ÖREBRO LÄN</t>
        </is>
      </c>
      <c r="G19" t="inlineStr">
        <is>
          <t>ASKERSUND</t>
        </is>
      </c>
      <c r="I19" t="n">
        <v>6.6</v>
      </c>
      <c r="J19" t="n">
        <v>5</v>
      </c>
      <c r="K19" t="n">
        <v>1</v>
      </c>
      <c r="L19" t="n">
        <v>0</v>
      </c>
      <c r="M19" t="n">
        <v>0</v>
      </c>
      <c r="N19" t="n">
        <v>0</v>
      </c>
      <c r="O19" t="n">
        <v>0</v>
      </c>
      <c r="P19" t="n">
        <v>0</v>
      </c>
      <c r="Q19" t="n">
        <v>0</v>
      </c>
      <c r="R19" t="n">
        <v>0</v>
      </c>
      <c r="S19" t="n">
        <v>6</v>
      </c>
      <c r="T19" t="n">
        <v>10</v>
      </c>
      <c r="U19" t="n">
        <v>6</v>
      </c>
      <c r="V19" s="2" t="inlineStr">
        <is>
          <t>Tibast
Blåsippa
Gråsiska
Spillkråka
Tofsmes
Gullviva</t>
        </is>
      </c>
      <c r="W19">
        <f>HYPERLINK("https://klasma.github.io/Logging_1882/artfynd/A 38246-2026 artfynd.xlsx", "A 38246-2026")</f>
        <v/>
      </c>
      <c r="X19">
        <f>HYPERLINK("https://klasma.github.io/Logging_1882/kartor/A 38246-2026 karta.png", "A 38246-2026")</f>
        <v/>
      </c>
      <c r="Y19">
        <f>HYPERLINK("https://klasma.github.io/Logging_1882/kartor_geotiff/A 38246-2026 georefererad karta.tif", "A 38246-2026")</f>
        <v/>
      </c>
      <c r="AA19">
        <f>HYPERLINK("https://klasma.github.io/Logging_1882/klagomål/A 38246-2026 FSC-klagomål.docx", "A 38246-2026")</f>
        <v/>
      </c>
      <c r="AB19">
        <f>HYPERLINK("https://klasma.github.io/Logging_1882/klagomålsmail/A 38246-2026 FSC-klagomål mail.docx", "A 38246-2026")</f>
        <v/>
      </c>
      <c r="AC19">
        <f>HYPERLINK("https://klasma.github.io/Logging_1882/tillsyn/A 38246-2026 tillsynsbegäran.docx", "A 38246-2026")</f>
        <v/>
      </c>
      <c r="AD19">
        <f>HYPERLINK("https://klasma.github.io/Logging_1882/tillsynsmail/A 38246-2026 tillsynsbegäran mail.docx", "A 38246-2026")</f>
        <v/>
      </c>
      <c r="AE19">
        <f>HYPERLINK("https://klasma.github.io/Logging_1882/fåglar/A 38246-2026 prioriterade fågelarter.docx", "A 38246-2026")</f>
        <v/>
      </c>
    </row>
    <row r="20" ht="15" customHeight="1">
      <c r="A20" t="inlineStr">
        <is>
          <t>S 2313-2026</t>
        </is>
      </c>
      <c r="B20" t="inlineStr">
        <is>
          <t>samrådsanmälan</t>
        </is>
      </c>
      <c r="C20" t="inlineStr">
        <is>
          <t>Annan skogsbruksåtgärd</t>
        </is>
      </c>
      <c r="D20" s="1" t="n">
        <v>46268</v>
      </c>
      <c r="E20" s="1" t="n">
        <v>46326</v>
      </c>
      <c r="F20" t="inlineStr">
        <is>
          <t>ÖREBRO LÄN</t>
        </is>
      </c>
      <c r="G20" t="inlineStr">
        <is>
          <t>ASKERSUND</t>
        </is>
      </c>
      <c r="H20" t="inlineStr">
        <is>
          <t>Sveaskog</t>
        </is>
      </c>
      <c r="I20" t="n">
        <v>5</v>
      </c>
      <c r="J20" t="n">
        <v>3</v>
      </c>
      <c r="K20" t="n">
        <v>0</v>
      </c>
      <c r="L20" t="n">
        <v>2</v>
      </c>
      <c r="M20" t="n">
        <v>0</v>
      </c>
      <c r="N20" t="n">
        <v>1</v>
      </c>
      <c r="O20" t="n">
        <v>0</v>
      </c>
      <c r="P20" t="n">
        <v>0</v>
      </c>
      <c r="Q20" t="n">
        <v>3</v>
      </c>
      <c r="R20" t="n">
        <v>1</v>
      </c>
      <c r="S20" t="n">
        <v>6</v>
      </c>
      <c r="T20" t="n">
        <v>8</v>
      </c>
      <c r="U20" t="n">
        <v>0</v>
      </c>
      <c r="V20" s="2" t="inlineStr">
        <is>
          <t>Ask
Jungfrulin
Kandelabersvamp
Utter
Grönvit nattviol
Nattviol</t>
        </is>
      </c>
      <c r="W20">
        <f>HYPERLINK("https://klasma.github.io/Logging_1882/artfynd/S 2313-2026 artfynd.xlsx", "S 2313-2026")</f>
        <v/>
      </c>
      <c r="X20">
        <f>HYPERLINK("https://klasma.github.io/Logging_1882/kartor/S 2313-2026 karta.png", "S 2313-2026")</f>
        <v/>
      </c>
      <c r="Y20">
        <f>HYPERLINK("https://klasma.github.io/Logging_1882/kartor_geotiff/S 2313-2026 georefererad karta.tif", "S 2313-2026")</f>
        <v/>
      </c>
      <c r="AA20">
        <f>HYPERLINK("https://klasma.github.io/Logging_1882/klagomål/S 2313-2026 FSC-klagomål.docx", "S 2313-2026")</f>
        <v/>
      </c>
      <c r="AB20">
        <f>HYPERLINK("https://klasma.github.io/Logging_1882/klagomålsmail/S 2313-2026 FSC-klagomål mail.docx", "S 2313-2026")</f>
        <v/>
      </c>
      <c r="AC20">
        <f>HYPERLINK("https://klasma.github.io/Logging_1882/tillsyn/S 2313-2026 tillsynsbegäran.docx", "S 2313-2026")</f>
        <v/>
      </c>
      <c r="AD20">
        <f>HYPERLINK("https://klasma.github.io/Logging_1882/tillsynsmail/S 2313-2026 tillsynsbegäran mail.docx", "S 2313-2026")</f>
        <v/>
      </c>
    </row>
    <row r="21" ht="15" customHeight="1">
      <c r="A21" t="inlineStr">
        <is>
          <t>A 31967-2023</t>
        </is>
      </c>
      <c r="B21" t="inlineStr">
        <is>
          <t>avverkningsanmälan</t>
        </is>
      </c>
      <c r="C21" t="inlineStr">
        <is>
          <t>Avverkning för annat ändamål</t>
        </is>
      </c>
      <c r="D21" s="1" t="n">
        <v>45107</v>
      </c>
      <c r="E21" s="1" t="n">
        <v>46326</v>
      </c>
      <c r="F21" t="inlineStr">
        <is>
          <t>ÖREBRO LÄN</t>
        </is>
      </c>
      <c r="G21" t="inlineStr">
        <is>
          <t>ASKERSUND</t>
        </is>
      </c>
      <c r="I21" t="n">
        <v>1.2</v>
      </c>
      <c r="J21" t="n">
        <v>1</v>
      </c>
      <c r="K21" t="n">
        <v>3</v>
      </c>
      <c r="L21" t="n">
        <v>1</v>
      </c>
      <c r="M21" t="n">
        <v>0</v>
      </c>
      <c r="N21" t="n">
        <v>0</v>
      </c>
      <c r="O21" t="n">
        <v>0</v>
      </c>
      <c r="P21" t="n">
        <v>0</v>
      </c>
      <c r="Q21" t="n">
        <v>1</v>
      </c>
      <c r="R21" t="n">
        <v>0</v>
      </c>
      <c r="S21" t="n">
        <v>5</v>
      </c>
      <c r="T21" t="n">
        <v>5</v>
      </c>
      <c r="U21" t="n">
        <v>1</v>
      </c>
      <c r="V21" s="2" t="inlineStr">
        <is>
          <t>Kandelabersvamp
Blåsfliksmossa
Gulnål
Trubbfjädermossa
Utter</t>
        </is>
      </c>
      <c r="W21">
        <f>HYPERLINK("https://klasma.github.io/Logging_1882/artfynd/A 31967-2023 artfynd.xlsx", "A 31967-2023")</f>
        <v/>
      </c>
      <c r="X21">
        <f>HYPERLINK("https://klasma.github.io/Logging_1882/kartor/A 31967-2023 karta.png", "A 31967-2023")</f>
        <v/>
      </c>
      <c r="Y21">
        <f>HYPERLINK("https://klasma.github.io/Logging_1882/kartor_geotiff/A 31967-2023 georefererad karta.tif", "A 31967-2023")</f>
        <v/>
      </c>
      <c r="AA21">
        <f>HYPERLINK("https://klasma.github.io/Logging_1882/klagomål/A 31967-2023 FSC-klagomål.docx", "A 31967-2023")</f>
        <v/>
      </c>
      <c r="AB21">
        <f>HYPERLINK("https://klasma.github.io/Logging_1882/klagomålsmail/A 31967-2023 FSC-klagomål mail.docx", "A 31967-2023")</f>
        <v/>
      </c>
      <c r="AC21">
        <f>HYPERLINK("https://klasma.github.io/Logging_1882/tillsyn/A 31967-2023 tillsynsbegäran.docx", "A 31967-2023")</f>
        <v/>
      </c>
      <c r="AD21">
        <f>HYPERLINK("https://klasma.github.io/Logging_1882/tillsynsmail/A 31967-2023 tillsynsbegäran mail.docx", "A 31967-2023")</f>
        <v/>
      </c>
    </row>
    <row r="22" ht="15" customHeight="1">
      <c r="A22" t="inlineStr">
        <is>
          <t>A 38055-2026</t>
        </is>
      </c>
      <c r="B22" t="inlineStr">
        <is>
          <t>avverkningsanmälan</t>
        </is>
      </c>
      <c r="C22" t="inlineStr">
        <is>
          <t>Föryngringsavverkning</t>
        </is>
      </c>
      <c r="D22" s="1" t="n">
        <v>46280</v>
      </c>
      <c r="E22" s="1" t="n">
        <v>46326</v>
      </c>
      <c r="F22" t="inlineStr">
        <is>
          <t>ÖREBRO LÄN</t>
        </is>
      </c>
      <c r="G22" t="inlineStr">
        <is>
          <t>ASKERSUND</t>
        </is>
      </c>
      <c r="I22" t="n">
        <v>2.3</v>
      </c>
      <c r="J22" t="n">
        <v>0</v>
      </c>
      <c r="K22" t="n">
        <v>3</v>
      </c>
      <c r="L22" t="n">
        <v>2</v>
      </c>
      <c r="M22" t="n">
        <v>0</v>
      </c>
      <c r="N22" t="n">
        <v>0</v>
      </c>
      <c r="O22" t="n">
        <v>0</v>
      </c>
      <c r="P22" t="n">
        <v>0</v>
      </c>
      <c r="Q22" t="n">
        <v>2</v>
      </c>
      <c r="R22" t="n">
        <v>0</v>
      </c>
      <c r="S22" t="n">
        <v>5</v>
      </c>
      <c r="T22" t="n">
        <v>5</v>
      </c>
      <c r="U22" t="n">
        <v>0</v>
      </c>
      <c r="V22" s="2" t="inlineStr">
        <is>
          <t>Storgröe
Vårärt
Svart trolldruva
Tibast
Underviol</t>
        </is>
      </c>
      <c r="W22">
        <f>HYPERLINK("https://klasma.github.io/Logging_1882/artfynd/A 38055-2026 artfynd.xlsx", "A 38055-2026")</f>
        <v/>
      </c>
      <c r="X22">
        <f>HYPERLINK("https://klasma.github.io/Logging_1882/kartor/A 38055-2026 karta.png", "A 38055-2026")</f>
        <v/>
      </c>
      <c r="Y22">
        <f>HYPERLINK("https://klasma.github.io/Logging_1882/kartor_geotiff/A 38055-2026 georefererad karta.tif", "A 38055-2026")</f>
        <v/>
      </c>
      <c r="AA22">
        <f>HYPERLINK("https://klasma.github.io/Logging_1882/klagomål/A 38055-2026 FSC-klagomål.docx", "A 38055-2026")</f>
        <v/>
      </c>
      <c r="AB22">
        <f>HYPERLINK("https://klasma.github.io/Logging_1882/klagomålsmail/A 38055-2026 FSC-klagomål mail.docx", "A 38055-2026")</f>
        <v/>
      </c>
      <c r="AC22">
        <f>HYPERLINK("https://klasma.github.io/Logging_1882/tillsyn/A 38055-2026 tillsynsbegäran.docx", "A 38055-2026")</f>
        <v/>
      </c>
      <c r="AD22">
        <f>HYPERLINK("https://klasma.github.io/Logging_1882/tillsynsmail/A 38055-2026 tillsynsbegäran mail.docx", "A 38055-2026")</f>
        <v/>
      </c>
    </row>
    <row r="23" ht="15" customHeight="1">
      <c r="A23" t="inlineStr">
        <is>
          <t>A 7751-2024</t>
        </is>
      </c>
      <c r="B23" t="inlineStr">
        <is>
          <t>avverkningsanmälan</t>
        </is>
      </c>
      <c r="C23" t="inlineStr">
        <is>
          <t>Föryngringsavverkning</t>
        </is>
      </c>
      <c r="D23" s="1" t="n">
        <v>45349</v>
      </c>
      <c r="E23" s="1" t="n">
        <v>46326</v>
      </c>
      <c r="F23" t="inlineStr">
        <is>
          <t>ÖREBRO LÄN</t>
        </is>
      </c>
      <c r="G23" t="inlineStr">
        <is>
          <t>ASKERSUND</t>
        </is>
      </c>
      <c r="I23" t="n">
        <v>12.4</v>
      </c>
      <c r="J23" t="n">
        <v>2</v>
      </c>
      <c r="K23" t="n">
        <v>0</v>
      </c>
      <c r="L23" t="n">
        <v>2</v>
      </c>
      <c r="M23" t="n">
        <v>0</v>
      </c>
      <c r="N23" t="n">
        <v>0</v>
      </c>
      <c r="O23" t="n">
        <v>0</v>
      </c>
      <c r="P23" t="n">
        <v>0</v>
      </c>
      <c r="Q23" t="n">
        <v>2</v>
      </c>
      <c r="R23" t="n">
        <v>0</v>
      </c>
      <c r="S23" t="n">
        <v>4</v>
      </c>
      <c r="T23" t="n">
        <v>4</v>
      </c>
      <c r="U23" t="n">
        <v>0</v>
      </c>
      <c r="V23" s="2" t="inlineStr">
        <is>
          <t>Slåtterfibbla
Svinrot
Fläcknycklar
Nattviol</t>
        </is>
      </c>
      <c r="W23">
        <f>HYPERLINK("https://klasma.github.io/Logging_1882/artfynd/A 7751-2024 artfynd.xlsx", "A 7751-2024")</f>
        <v/>
      </c>
      <c r="X23">
        <f>HYPERLINK("https://klasma.github.io/Logging_1882/kartor/A 7751-2024 karta.png", "A 7751-2024")</f>
        <v/>
      </c>
      <c r="Y23">
        <f>HYPERLINK("https://klasma.github.io/Logging_1882/kartor_geotiff/A 7751-2024 georefererad karta.tif", "A 7751-2024")</f>
        <v/>
      </c>
      <c r="AA23">
        <f>HYPERLINK("https://klasma.github.io/Logging_1882/klagomål/A 7751-2024 FSC-klagomål.docx", "A 7751-2024")</f>
        <v/>
      </c>
      <c r="AB23">
        <f>HYPERLINK("https://klasma.github.io/Logging_1882/klagomålsmail/A 7751-2024 FSC-klagomål mail.docx", "A 7751-2024")</f>
        <v/>
      </c>
      <c r="AC23">
        <f>HYPERLINK("https://klasma.github.io/Logging_1882/tillsyn/A 7751-2024 tillsynsbegäran.docx", "A 7751-2024")</f>
        <v/>
      </c>
      <c r="AD23">
        <f>HYPERLINK("https://klasma.github.io/Logging_1882/tillsynsmail/A 7751-2024 tillsynsbegäran mail.docx", "A 7751-2024")</f>
        <v/>
      </c>
    </row>
    <row r="24" ht="15" customHeight="1">
      <c r="A24" t="inlineStr">
        <is>
          <t>A 62084-2024</t>
        </is>
      </c>
      <c r="B24" t="inlineStr">
        <is>
          <t>avverkningsanmälan</t>
        </is>
      </c>
      <c r="C24" t="inlineStr">
        <is>
          <t>Föryngringsavverkning</t>
        </is>
      </c>
      <c r="D24" s="1" t="n">
        <v>45656</v>
      </c>
      <c r="E24" s="1" t="n">
        <v>46326</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A 2441-2025</t>
        </is>
      </c>
      <c r="B25" t="inlineStr">
        <is>
          <t>avverkningsanmälan</t>
        </is>
      </c>
      <c r="C25" t="inlineStr">
        <is>
          <t>Föryngringsavverkning</t>
        </is>
      </c>
      <c r="D25" s="1" t="n">
        <v>45674</v>
      </c>
      <c r="E25" s="1" t="n">
        <v>46326</v>
      </c>
      <c r="F25" t="inlineStr">
        <is>
          <t>ÖREBRO LÄN</t>
        </is>
      </c>
      <c r="G25" t="inlineStr">
        <is>
          <t>ASKERSUND</t>
        </is>
      </c>
      <c r="I25" t="n">
        <v>1.5</v>
      </c>
      <c r="J25" t="n">
        <v>2</v>
      </c>
      <c r="K25" t="n">
        <v>1</v>
      </c>
      <c r="L25" t="n">
        <v>1</v>
      </c>
      <c r="M25" t="n">
        <v>0</v>
      </c>
      <c r="N25" t="n">
        <v>0</v>
      </c>
      <c r="O25" t="n">
        <v>0</v>
      </c>
      <c r="P25" t="n">
        <v>0</v>
      </c>
      <c r="Q25" t="n">
        <v>1</v>
      </c>
      <c r="R25" t="n">
        <v>0</v>
      </c>
      <c r="S25" t="n">
        <v>4</v>
      </c>
      <c r="T25" t="n">
        <v>4</v>
      </c>
      <c r="U25" t="n">
        <v>0</v>
      </c>
      <c r="V25" s="2" t="inlineStr">
        <is>
          <t>Solvända
Svart trolldruva
Blåsippa
Grönvit nattviol</t>
        </is>
      </c>
      <c r="W25">
        <f>HYPERLINK("https://klasma.github.io/Logging_1882/artfynd/A 2441-2025 artfynd.xlsx", "A 2441-2025")</f>
        <v/>
      </c>
      <c r="X25">
        <f>HYPERLINK("https://klasma.github.io/Logging_1882/kartor/A 2441-2025 karta.png", "A 2441-2025")</f>
        <v/>
      </c>
      <c r="Y25">
        <f>HYPERLINK("https://klasma.github.io/Logging_1882/kartor_geotiff/A 2441-2025 georefererad karta.tif", "A 2441-2025")</f>
        <v/>
      </c>
      <c r="AA25">
        <f>HYPERLINK("https://klasma.github.io/Logging_1882/klagomål/A 2441-2025 FSC-klagomål.docx", "A 2441-2025")</f>
        <v/>
      </c>
      <c r="AB25">
        <f>HYPERLINK("https://klasma.github.io/Logging_1882/klagomålsmail/A 2441-2025 FSC-klagomål mail.docx", "A 2441-2025")</f>
        <v/>
      </c>
      <c r="AC25">
        <f>HYPERLINK("https://klasma.github.io/Logging_1882/tillsyn/A 2441-2025 tillsynsbegäran.docx", "A 2441-2025")</f>
        <v/>
      </c>
      <c r="AD25">
        <f>HYPERLINK("https://klasma.github.io/Logging_1882/tillsynsmail/A 2441-2025 tillsynsbegäran mail.docx", "A 2441-2025")</f>
        <v/>
      </c>
    </row>
    <row r="26" ht="15" customHeight="1">
      <c r="A26" t="inlineStr">
        <is>
          <t>A 54592-2023</t>
        </is>
      </c>
      <c r="B26" t="inlineStr">
        <is>
          <t>avverkningsanmälan</t>
        </is>
      </c>
      <c r="C26" t="inlineStr">
        <is>
          <t>Föryngringsavverkning</t>
        </is>
      </c>
      <c r="D26" s="1" t="n">
        <v>45228</v>
      </c>
      <c r="E26" s="1" t="n">
        <v>46326</v>
      </c>
      <c r="F26" t="inlineStr">
        <is>
          <t>ÖREBRO LÄN</t>
        </is>
      </c>
      <c r="G26" t="inlineStr">
        <is>
          <t>ASKERSUND</t>
        </is>
      </c>
      <c r="I26" t="n">
        <v>4.6</v>
      </c>
      <c r="J26" t="n">
        <v>1</v>
      </c>
      <c r="K26" t="n">
        <v>0</v>
      </c>
      <c r="L26" t="n">
        <v>2</v>
      </c>
      <c r="M26" t="n">
        <v>0</v>
      </c>
      <c r="N26" t="n">
        <v>1</v>
      </c>
      <c r="O26" t="n">
        <v>0</v>
      </c>
      <c r="P26" t="n">
        <v>0</v>
      </c>
      <c r="Q26" t="n">
        <v>3</v>
      </c>
      <c r="R26" t="n">
        <v>1</v>
      </c>
      <c r="S26" t="n">
        <v>4</v>
      </c>
      <c r="T26" t="n">
        <v>4</v>
      </c>
      <c r="U26" t="n">
        <v>0</v>
      </c>
      <c r="V26" s="2" t="inlineStr">
        <is>
          <t>Ask
Svinrot
Vårstarr
Spillkråka</t>
        </is>
      </c>
      <c r="W26">
        <f>HYPERLINK("https://klasma.github.io/Logging_1882/artfynd/A 54592-2023 artfynd.xlsx", "A 54592-2023")</f>
        <v/>
      </c>
      <c r="X26">
        <f>HYPERLINK("https://klasma.github.io/Logging_1882/kartor/A 54592-2023 karta.png", "A 54592-2023")</f>
        <v/>
      </c>
      <c r="Y26">
        <f>HYPERLINK("https://klasma.github.io/Logging_1882/kartor_geotiff/A 54592-2023 georefererad karta.tif", "A 54592-2023")</f>
        <v/>
      </c>
      <c r="AA26">
        <f>HYPERLINK("https://klasma.github.io/Logging_1882/klagomål/A 54592-2023 FSC-klagomål.docx", "A 54592-2023")</f>
        <v/>
      </c>
      <c r="AB26">
        <f>HYPERLINK("https://klasma.github.io/Logging_1882/klagomålsmail/A 54592-2023 FSC-klagomål mail.docx", "A 54592-2023")</f>
        <v/>
      </c>
      <c r="AC26">
        <f>HYPERLINK("https://klasma.github.io/Logging_1882/tillsyn/A 54592-2023 tillsynsbegäran.docx", "A 54592-2023")</f>
        <v/>
      </c>
      <c r="AD26">
        <f>HYPERLINK("https://klasma.github.io/Logging_1882/tillsynsmail/A 54592-2023 tillsynsbegäran mail.docx", "A 54592-2023")</f>
        <v/>
      </c>
      <c r="AE26">
        <f>HYPERLINK("https://klasma.github.io/Logging_1882/fåglar/A 54592-2023 prioriterade fågelarter.docx", "A 54592-2023")</f>
        <v/>
      </c>
    </row>
    <row r="27" ht="15" customHeight="1">
      <c r="A27" t="inlineStr">
        <is>
          <t>A 3669-2023</t>
        </is>
      </c>
      <c r="B27" t="inlineStr">
        <is>
          <t>avverkningsanmälan</t>
        </is>
      </c>
      <c r="C27" t="inlineStr">
        <is>
          <t>Föryngringsavverkning</t>
        </is>
      </c>
      <c r="D27" s="1" t="n">
        <v>44950</v>
      </c>
      <c r="E27" s="1" t="n">
        <v>46326</v>
      </c>
      <c r="F27" t="inlineStr">
        <is>
          <t>ÖREBRO LÄN</t>
        </is>
      </c>
      <c r="G27" t="inlineStr">
        <is>
          <t>ASKERSUND</t>
        </is>
      </c>
      <c r="I27" t="n">
        <v>2.5</v>
      </c>
      <c r="J27" t="n">
        <v>0</v>
      </c>
      <c r="K27" t="n">
        <v>1</v>
      </c>
      <c r="L27" t="n">
        <v>3</v>
      </c>
      <c r="M27" t="n">
        <v>0</v>
      </c>
      <c r="N27" t="n">
        <v>0</v>
      </c>
      <c r="O27" t="n">
        <v>0</v>
      </c>
      <c r="P27" t="n">
        <v>0</v>
      </c>
      <c r="Q27" t="n">
        <v>3</v>
      </c>
      <c r="R27" t="n">
        <v>0</v>
      </c>
      <c r="S27" t="n">
        <v>4</v>
      </c>
      <c r="T27" t="n">
        <v>7</v>
      </c>
      <c r="U27" t="n">
        <v>7</v>
      </c>
      <c r="V27" s="2" t="inlineStr">
        <is>
          <t>Dropptaggsvamp
Gropticka
Motaggsvamp
Blåmossa</t>
        </is>
      </c>
      <c r="W27">
        <f>HYPERLINK("https://klasma.github.io/Logging_1882/artfynd/A 3669-2023 artfynd.xlsx", "A 3669-2023")</f>
        <v/>
      </c>
      <c r="X27">
        <f>HYPERLINK("https://klasma.github.io/Logging_1882/kartor/A 3669-2023 karta.png", "A 3669-2023")</f>
        <v/>
      </c>
      <c r="Y27">
        <f>HYPERLINK("https://klasma.github.io/Logging_1882/kartor_geotiff/A 3669-2023 georefererad karta.tif", "A 3669-2023")</f>
        <v/>
      </c>
      <c r="AA27">
        <f>HYPERLINK("https://klasma.github.io/Logging_1882/klagomål/A 3669-2023 FSC-klagomål.docx", "A 3669-2023")</f>
        <v/>
      </c>
      <c r="AB27">
        <f>HYPERLINK("https://klasma.github.io/Logging_1882/klagomålsmail/A 3669-2023 FSC-klagomål mail.docx", "A 3669-2023")</f>
        <v/>
      </c>
      <c r="AC27">
        <f>HYPERLINK("https://klasma.github.io/Logging_1882/tillsyn/A 3669-2023 tillsynsbegäran.docx", "A 3669-2023")</f>
        <v/>
      </c>
      <c r="AD27">
        <f>HYPERLINK("https://klasma.github.io/Logging_1882/tillsynsmail/A 3669-2023 tillsynsbegäran mail.docx", "A 3669-2023")</f>
        <v/>
      </c>
    </row>
    <row r="28" ht="15" customHeight="1">
      <c r="A28" t="inlineStr">
        <is>
          <t>A 3945-2022</t>
        </is>
      </c>
      <c r="B28" t="inlineStr">
        <is>
          <t>avverkningsanmälan</t>
        </is>
      </c>
      <c r="C28" t="inlineStr">
        <is>
          <t>Föryngringsavverkning</t>
        </is>
      </c>
      <c r="D28" s="1" t="n">
        <v>44587</v>
      </c>
      <c r="E28" s="1" t="n">
        <v>46326</v>
      </c>
      <c r="F28" t="inlineStr">
        <is>
          <t>ÖREBRO LÄN</t>
        </is>
      </c>
      <c r="G28" t="inlineStr">
        <is>
          <t>ASKERSUND</t>
        </is>
      </c>
      <c r="I28" t="n">
        <v>1.5</v>
      </c>
      <c r="J28" t="n">
        <v>3</v>
      </c>
      <c r="K28" t="n">
        <v>1</v>
      </c>
      <c r="L28" t="n">
        <v>1</v>
      </c>
      <c r="M28" t="n">
        <v>0</v>
      </c>
      <c r="N28" t="n">
        <v>0</v>
      </c>
      <c r="O28" t="n">
        <v>0</v>
      </c>
      <c r="P28" t="n">
        <v>0</v>
      </c>
      <c r="Q28" t="n">
        <v>1</v>
      </c>
      <c r="R28" t="n">
        <v>0</v>
      </c>
      <c r="S28" t="n">
        <v>4</v>
      </c>
      <c r="T28" t="n">
        <v>8</v>
      </c>
      <c r="U28" t="n">
        <v>5</v>
      </c>
      <c r="V28" s="2" t="inlineStr">
        <is>
          <t>Tretåig hackspett
Vedticka
Tjäder
Revlummer</t>
        </is>
      </c>
      <c r="W28">
        <f>HYPERLINK("https://klasma.github.io/Logging_1882/artfynd/A 3945-2022 artfynd.xlsx", "A 3945-2022")</f>
        <v/>
      </c>
      <c r="X28">
        <f>HYPERLINK("https://klasma.github.io/Logging_1882/kartor/A 3945-2022 karta.png", "A 3945-2022")</f>
        <v/>
      </c>
      <c r="Y28">
        <f>HYPERLINK("https://klasma.github.io/Logging_1882/kartor_geotiff/A 3945-2022 georefererad karta.tif", "A 3945-2022")</f>
        <v/>
      </c>
      <c r="AA28">
        <f>HYPERLINK("https://klasma.github.io/Logging_1882/klagomål/A 3945-2022 FSC-klagomål.docx", "A 3945-2022")</f>
        <v/>
      </c>
      <c r="AB28">
        <f>HYPERLINK("https://klasma.github.io/Logging_1882/klagomålsmail/A 3945-2022 FSC-klagomål mail.docx", "A 3945-2022")</f>
        <v/>
      </c>
      <c r="AC28">
        <f>HYPERLINK("https://klasma.github.io/Logging_1882/tillsyn/A 3945-2022 tillsynsbegäran.docx", "A 3945-2022")</f>
        <v/>
      </c>
      <c r="AD28">
        <f>HYPERLINK("https://klasma.github.io/Logging_1882/tillsynsmail/A 3945-2022 tillsynsbegäran mail.docx", "A 3945-2022")</f>
        <v/>
      </c>
      <c r="AE28">
        <f>HYPERLINK("https://klasma.github.io/Logging_1882/fåglar/A 3945-2022 prioriterade fågelarter.docx", "A 3945-2022")</f>
        <v/>
      </c>
    </row>
    <row r="29" ht="15" customHeight="1">
      <c r="A29" t="inlineStr">
        <is>
          <t>S 707-2024</t>
        </is>
      </c>
      <c r="B29" t="inlineStr">
        <is>
          <t>samrådsanmälan</t>
        </is>
      </c>
      <c r="C29" t="inlineStr">
        <is>
          <t>Annan skogsbruksåtgärd</t>
        </is>
      </c>
      <c r="D29" s="1" t="n">
        <v>45362</v>
      </c>
      <c r="E29" s="1" t="n">
        <v>46326</v>
      </c>
      <c r="F29" t="inlineStr">
        <is>
          <t>ÖREBRO LÄN</t>
        </is>
      </c>
      <c r="G29" t="inlineStr">
        <is>
          <t>ASKERSUND</t>
        </is>
      </c>
      <c r="H29" t="inlineStr">
        <is>
          <t>Sveaskog</t>
        </is>
      </c>
      <c r="I29" t="n">
        <v>3.3</v>
      </c>
      <c r="J29" t="n">
        <v>3</v>
      </c>
      <c r="K29" t="n">
        <v>1</v>
      </c>
      <c r="L29" t="n">
        <v>1</v>
      </c>
      <c r="M29" t="n">
        <v>0</v>
      </c>
      <c r="N29" t="n">
        <v>0</v>
      </c>
      <c r="O29" t="n">
        <v>0</v>
      </c>
      <c r="P29" t="n">
        <v>0</v>
      </c>
      <c r="Q29" t="n">
        <v>1</v>
      </c>
      <c r="R29" t="n">
        <v>0</v>
      </c>
      <c r="S29" t="n">
        <v>4</v>
      </c>
      <c r="T29" t="n">
        <v>5</v>
      </c>
      <c r="U29" t="n">
        <v>0</v>
      </c>
      <c r="V29" s="2" t="inlineStr">
        <is>
          <t>Grönsångare
Björksplintborre
Blåsippa
Svartvit flugsnappare</t>
        </is>
      </c>
      <c r="W29">
        <f>HYPERLINK("https://klasma.github.io/Logging_1882/artfynd/S 707-2024 artfynd.xlsx", "S 707-2024")</f>
        <v/>
      </c>
      <c r="X29">
        <f>HYPERLINK("https://klasma.github.io/Logging_1882/kartor/S 707-2024 karta.png", "S 707-2024")</f>
        <v/>
      </c>
      <c r="Y29">
        <f>HYPERLINK("https://klasma.github.io/Logging_1882/kartor_geotiff/S 707-2024 georefererad karta.tif", "S 707-2024")</f>
        <v/>
      </c>
      <c r="AA29">
        <f>HYPERLINK("https://klasma.github.io/Logging_1882/klagomål/S 707-2024 FSC-klagomål.docx", "S 707-2024")</f>
        <v/>
      </c>
      <c r="AB29">
        <f>HYPERLINK("https://klasma.github.io/Logging_1882/klagomålsmail/S 707-2024 FSC-klagomål mail.docx", "S 707-2024")</f>
        <v/>
      </c>
      <c r="AC29">
        <f>HYPERLINK("https://klasma.github.io/Logging_1882/tillsyn/S 707-2024 tillsynsbegäran.docx", "S 707-2024")</f>
        <v/>
      </c>
      <c r="AD29">
        <f>HYPERLINK("https://klasma.github.io/Logging_1882/tillsynsmail/S 707-2024 tillsynsbegäran mail.docx", "S 707-2024")</f>
        <v/>
      </c>
      <c r="AE29">
        <f>HYPERLINK("https://klasma.github.io/Logging_1882/fåglar/S 707-2024 prioriterade fågelarter.docx", "S 707-2024")</f>
        <v/>
      </c>
    </row>
    <row r="30" ht="15" customHeight="1">
      <c r="A30" t="inlineStr">
        <is>
          <t>A 66341-2021</t>
        </is>
      </c>
      <c r="B30" t="inlineStr">
        <is>
          <t>avverkningsanmälan</t>
        </is>
      </c>
      <c r="C30" t="inlineStr">
        <is>
          <t>Föryngringsavverkning</t>
        </is>
      </c>
      <c r="D30" s="1" t="n">
        <v>44518</v>
      </c>
      <c r="E30" s="1" t="n">
        <v>46326</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49813-2023</t>
        </is>
      </c>
      <c r="B31" t="inlineStr">
        <is>
          <t>avverkningsanmälan</t>
        </is>
      </c>
      <c r="C31" t="inlineStr">
        <is>
          <t>Föryngringsavverkning</t>
        </is>
      </c>
      <c r="D31" s="1" t="n">
        <v>45212</v>
      </c>
      <c r="E31" s="1" t="n">
        <v>46326</v>
      </c>
      <c r="F31" t="inlineStr">
        <is>
          <t>ÖREBRO LÄN</t>
        </is>
      </c>
      <c r="G31" t="inlineStr">
        <is>
          <t>ASKERSUND</t>
        </is>
      </c>
      <c r="I31" t="n">
        <v>4.7</v>
      </c>
      <c r="J31" t="n">
        <v>1</v>
      </c>
      <c r="K31" t="n">
        <v>1</v>
      </c>
      <c r="L31" t="n">
        <v>1</v>
      </c>
      <c r="M31" t="n">
        <v>0</v>
      </c>
      <c r="N31" t="n">
        <v>0</v>
      </c>
      <c r="O31" t="n">
        <v>0</v>
      </c>
      <c r="P31" t="n">
        <v>0</v>
      </c>
      <c r="Q31" t="n">
        <v>1</v>
      </c>
      <c r="R31" t="n">
        <v>0</v>
      </c>
      <c r="S31" t="n">
        <v>3</v>
      </c>
      <c r="T31" t="n">
        <v>4</v>
      </c>
      <c r="U31" t="n">
        <v>0</v>
      </c>
      <c r="V31" s="2" t="inlineStr">
        <is>
          <t>Motaggsvamp
Björksplintborre
Mattlummer</t>
        </is>
      </c>
      <c r="W31">
        <f>HYPERLINK("https://klasma.github.io/Logging_1882/artfynd/A 49813-2023 artfynd.xlsx", "A 49813-2023")</f>
        <v/>
      </c>
      <c r="X31">
        <f>HYPERLINK("https://klasma.github.io/Logging_1882/kartor/A 49813-2023 karta.png", "A 49813-2023")</f>
        <v/>
      </c>
      <c r="Y31">
        <f>HYPERLINK("https://klasma.github.io/Logging_1882/kartor_geotiff/A 49813-2023 georefererad karta.tif", "A 49813-2023")</f>
        <v/>
      </c>
      <c r="AA31">
        <f>HYPERLINK("https://klasma.github.io/Logging_1882/klagomål/A 49813-2023 FSC-klagomål.docx", "A 49813-2023")</f>
        <v/>
      </c>
      <c r="AB31">
        <f>HYPERLINK("https://klasma.github.io/Logging_1882/klagomålsmail/A 49813-2023 FSC-klagomål mail.docx", "A 49813-2023")</f>
        <v/>
      </c>
      <c r="AC31">
        <f>HYPERLINK("https://klasma.github.io/Logging_1882/tillsyn/A 49813-2023 tillsynsbegäran.docx", "A 49813-2023")</f>
        <v/>
      </c>
      <c r="AD31">
        <f>HYPERLINK("https://klasma.github.io/Logging_1882/tillsynsmail/A 49813-2023 tillsynsbegäran mail.docx", "A 49813-2023")</f>
        <v/>
      </c>
    </row>
    <row r="32" ht="15" customHeight="1">
      <c r="A32" t="inlineStr">
        <is>
          <t>A 11519-2023</t>
        </is>
      </c>
      <c r="B32" t="inlineStr">
        <is>
          <t>avverkningsanmälan</t>
        </is>
      </c>
      <c r="C32" t="inlineStr">
        <is>
          <t>Föryngringsavverkning</t>
        </is>
      </c>
      <c r="D32" s="1" t="n">
        <v>44993</v>
      </c>
      <c r="E32" s="1" t="n">
        <v>46326</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38299-2022</t>
        </is>
      </c>
      <c r="B33" t="inlineStr">
        <is>
          <t>avverkningsanmälan</t>
        </is>
      </c>
      <c r="C33" t="inlineStr">
        <is>
          <t>Föryngringsavverkning</t>
        </is>
      </c>
      <c r="D33" s="1" t="n">
        <v>44812</v>
      </c>
      <c r="E33" s="1" t="n">
        <v>46326</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46326</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29366-2025</t>
        </is>
      </c>
      <c r="B35" t="inlineStr">
        <is>
          <t>avverkningsanmälan</t>
        </is>
      </c>
      <c r="C35" t="inlineStr">
        <is>
          <t>Föryngringsavverkning</t>
        </is>
      </c>
      <c r="D35" s="1" t="n">
        <v>45824</v>
      </c>
      <c r="E35" s="1" t="n">
        <v>46326</v>
      </c>
      <c r="F35" t="inlineStr">
        <is>
          <t>ÖREBRO LÄN</t>
        </is>
      </c>
      <c r="G35" t="inlineStr">
        <is>
          <t>ASKERSUND</t>
        </is>
      </c>
      <c r="I35" t="n">
        <v>10.9</v>
      </c>
      <c r="J35" t="n">
        <v>0</v>
      </c>
      <c r="K35" t="n">
        <v>2</v>
      </c>
      <c r="L35" t="n">
        <v>1</v>
      </c>
      <c r="M35" t="n">
        <v>0</v>
      </c>
      <c r="N35" t="n">
        <v>0</v>
      </c>
      <c r="O35" t="n">
        <v>0</v>
      </c>
      <c r="P35" t="n">
        <v>0</v>
      </c>
      <c r="Q35" t="n">
        <v>1</v>
      </c>
      <c r="R35" t="n">
        <v>0</v>
      </c>
      <c r="S35" t="n">
        <v>3</v>
      </c>
      <c r="T35" t="n">
        <v>3</v>
      </c>
      <c r="U35" t="n">
        <v>0</v>
      </c>
      <c r="V35" s="2" t="inlineStr">
        <is>
          <t>Gullpudra
Svart trolldruva
Tibast</t>
        </is>
      </c>
      <c r="W35">
        <f>HYPERLINK("https://klasma.github.io/Logging_1882/artfynd/A 29366-2025 artfynd.xlsx", "A 29366-2025")</f>
        <v/>
      </c>
      <c r="X35">
        <f>HYPERLINK("https://klasma.github.io/Logging_1882/kartor/A 29366-2025 karta.png", "A 29366-2025")</f>
        <v/>
      </c>
      <c r="Y35">
        <f>HYPERLINK("https://klasma.github.io/Logging_1882/kartor_geotiff/A 29366-2025 georefererad karta.tif", "A 29366-2025")</f>
        <v/>
      </c>
      <c r="AA35">
        <f>HYPERLINK("https://klasma.github.io/Logging_1882/klagomål/A 29366-2025 FSC-klagomål.docx", "A 29366-2025")</f>
        <v/>
      </c>
      <c r="AB35">
        <f>HYPERLINK("https://klasma.github.io/Logging_1882/klagomålsmail/A 29366-2025 FSC-klagomål mail.docx", "A 29366-2025")</f>
        <v/>
      </c>
      <c r="AC35">
        <f>HYPERLINK("https://klasma.github.io/Logging_1882/tillsyn/A 29366-2025 tillsynsbegäran.docx", "A 29366-2025")</f>
        <v/>
      </c>
      <c r="AD35">
        <f>HYPERLINK("https://klasma.github.io/Logging_1882/tillsynsmail/A 29366-2025 tillsynsbegäran mail.docx", "A 29366-2025")</f>
        <v/>
      </c>
    </row>
    <row r="36" ht="15" customHeight="1">
      <c r="A36" t="inlineStr">
        <is>
          <t>A 34515-2024</t>
        </is>
      </c>
      <c r="B36" t="inlineStr">
        <is>
          <t>avverkningsanmälan</t>
        </is>
      </c>
      <c r="C36" t="inlineStr">
        <is>
          <t>Avverkning för att bevara och utveckla /försöksver</t>
        </is>
      </c>
      <c r="D36" s="1" t="n">
        <v>45525</v>
      </c>
      <c r="E36" s="1" t="n">
        <v>46326</v>
      </c>
      <c r="F36" t="inlineStr">
        <is>
          <t>ÖREBRO LÄN</t>
        </is>
      </c>
      <c r="G36" t="inlineStr">
        <is>
          <t>ASKERSUND</t>
        </is>
      </c>
      <c r="H36" t="inlineStr">
        <is>
          <t>Sveaskog</t>
        </is>
      </c>
      <c r="I36" t="n">
        <v>1.5</v>
      </c>
      <c r="J36" t="n">
        <v>2</v>
      </c>
      <c r="K36" t="n">
        <v>1</v>
      </c>
      <c r="L36" t="n">
        <v>0</v>
      </c>
      <c r="M36" t="n">
        <v>0</v>
      </c>
      <c r="N36" t="n">
        <v>0</v>
      </c>
      <c r="O36" t="n">
        <v>0</v>
      </c>
      <c r="P36" t="n">
        <v>0</v>
      </c>
      <c r="Q36" t="n">
        <v>0</v>
      </c>
      <c r="R36" t="n">
        <v>0</v>
      </c>
      <c r="S36" t="n">
        <v>3</v>
      </c>
      <c r="T36" t="n">
        <v>3</v>
      </c>
      <c r="U36" t="n">
        <v>2</v>
      </c>
      <c r="V36" s="2" t="inlineStr">
        <is>
          <t>Trubbfjädermossa
Blåsippa
Gröngöling</t>
        </is>
      </c>
      <c r="W36">
        <f>HYPERLINK("https://klasma.github.io/Logging_1882/artfynd/A 34515-2024 artfynd.xlsx", "A 34515-2024")</f>
        <v/>
      </c>
      <c r="X36">
        <f>HYPERLINK("https://klasma.github.io/Logging_1882/kartor/A 34515-2024 karta.png", "A 34515-2024")</f>
        <v/>
      </c>
      <c r="Y36">
        <f>HYPERLINK("https://klasma.github.io/Logging_1882/kartor_geotiff/A 34515-2024 georefererad karta.tif", "A 34515-2024")</f>
        <v/>
      </c>
      <c r="AA36">
        <f>HYPERLINK("https://klasma.github.io/Logging_1882/klagomål/A 34515-2024 FSC-klagomål.docx", "A 34515-2024")</f>
        <v/>
      </c>
      <c r="AB36">
        <f>HYPERLINK("https://klasma.github.io/Logging_1882/klagomålsmail/A 34515-2024 FSC-klagomål mail.docx", "A 34515-2024")</f>
        <v/>
      </c>
      <c r="AC36">
        <f>HYPERLINK("https://klasma.github.io/Logging_1882/tillsyn/A 34515-2024 tillsynsbegäran.docx", "A 34515-2024")</f>
        <v/>
      </c>
      <c r="AD36">
        <f>HYPERLINK("https://klasma.github.io/Logging_1882/tillsynsmail/A 34515-2024 tillsynsbegäran mail.docx", "A 34515-2024")</f>
        <v/>
      </c>
    </row>
    <row r="37" ht="15" customHeight="1">
      <c r="A37" t="inlineStr">
        <is>
          <t>A 30410-2023</t>
        </is>
      </c>
      <c r="B37" t="inlineStr">
        <is>
          <t>avverkningsanmälan</t>
        </is>
      </c>
      <c r="C37" t="inlineStr">
        <is>
          <t>Avverkning för att bevara och utveckla /försöksver</t>
        </is>
      </c>
      <c r="D37" s="1" t="n">
        <v>45111</v>
      </c>
      <c r="E37" s="1" t="n">
        <v>46326</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39808-2026</t>
        </is>
      </c>
      <c r="B38" t="inlineStr">
        <is>
          <t>avverkningsanmälan</t>
        </is>
      </c>
      <c r="C38" t="inlineStr">
        <is>
          <t>Föryngringsavverkning</t>
        </is>
      </c>
      <c r="D38" s="1" t="n">
        <v>46290</v>
      </c>
      <c r="E38" s="1" t="n">
        <v>46326</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A 3731-2025</t>
        </is>
      </c>
      <c r="B39" t="inlineStr">
        <is>
          <t>avverkningsanmälan</t>
        </is>
      </c>
      <c r="C39" t="inlineStr">
        <is>
          <t>Föryngringsavverkning</t>
        </is>
      </c>
      <c r="D39" s="1" t="n">
        <v>45681</v>
      </c>
      <c r="E39" s="1" t="n">
        <v>46326</v>
      </c>
      <c r="F39" t="inlineStr">
        <is>
          <t>ÖREBRO LÄN</t>
        </is>
      </c>
      <c r="G39" t="inlineStr">
        <is>
          <t>ASKERSUND</t>
        </is>
      </c>
      <c r="I39" t="n">
        <v>1.5</v>
      </c>
      <c r="J39" t="n">
        <v>0</v>
      </c>
      <c r="K39" t="n">
        <v>0</v>
      </c>
      <c r="L39" t="n">
        <v>2</v>
      </c>
      <c r="M39" t="n">
        <v>1</v>
      </c>
      <c r="N39" t="n">
        <v>0</v>
      </c>
      <c r="O39" t="n">
        <v>0</v>
      </c>
      <c r="P39" t="n">
        <v>0</v>
      </c>
      <c r="Q39" t="n">
        <v>3</v>
      </c>
      <c r="R39" t="n">
        <v>1</v>
      </c>
      <c r="S39" t="n">
        <v>3</v>
      </c>
      <c r="T39" t="n">
        <v>4</v>
      </c>
      <c r="U39" t="n">
        <v>0</v>
      </c>
      <c r="V39" s="2" t="inlineStr">
        <is>
          <t>Slåttergubbe
Slåtterfibbla
Svinrot</t>
        </is>
      </c>
      <c r="W39">
        <f>HYPERLINK("https://klasma.github.io/Logging_1882/artfynd/A 3731-2025 artfynd.xlsx", "A 3731-2025")</f>
        <v/>
      </c>
      <c r="X39">
        <f>HYPERLINK("https://klasma.github.io/Logging_1882/kartor/A 3731-2025 karta.png", "A 3731-2025")</f>
        <v/>
      </c>
      <c r="Y39">
        <f>HYPERLINK("https://klasma.github.io/Logging_1882/kartor_geotiff/A 3731-2025 georefererad karta.tif", "A 3731-2025")</f>
        <v/>
      </c>
      <c r="AA39">
        <f>HYPERLINK("https://klasma.github.io/Logging_1882/klagomål/A 3731-2025 FSC-klagomål.docx", "A 3731-2025")</f>
        <v/>
      </c>
      <c r="AB39">
        <f>HYPERLINK("https://klasma.github.io/Logging_1882/klagomålsmail/A 3731-2025 FSC-klagomål mail.docx", "A 3731-2025")</f>
        <v/>
      </c>
      <c r="AC39">
        <f>HYPERLINK("https://klasma.github.io/Logging_1882/tillsyn/A 3731-2025 tillsynsbegäran.docx", "A 3731-2025")</f>
        <v/>
      </c>
      <c r="AD39">
        <f>HYPERLINK("https://klasma.github.io/Logging_1882/tillsynsmail/A 3731-2025 tillsynsbegäran mail.docx", "A 3731-2025")</f>
        <v/>
      </c>
    </row>
    <row r="40" ht="15" customHeight="1">
      <c r="A40" t="inlineStr">
        <is>
          <t>A 43217-2026</t>
        </is>
      </c>
      <c r="B40" t="inlineStr">
        <is>
          <t>avverkningsanmälan</t>
        </is>
      </c>
      <c r="C40" t="inlineStr">
        <is>
          <t>Föryngringsavverkning</t>
        </is>
      </c>
      <c r="D40" s="1" t="n">
        <v>46314</v>
      </c>
      <c r="E40" s="1" t="n">
        <v>46326</v>
      </c>
      <c r="F40" t="inlineStr">
        <is>
          <t>ÖREBRO LÄN</t>
        </is>
      </c>
      <c r="G40" t="inlineStr">
        <is>
          <t>ASKERSUND</t>
        </is>
      </c>
      <c r="H40" t="inlineStr">
        <is>
          <t>Sveaskog</t>
        </is>
      </c>
      <c r="I40" t="n">
        <v>6.6</v>
      </c>
      <c r="J40" t="n">
        <v>2</v>
      </c>
      <c r="K40" t="n">
        <v>1</v>
      </c>
      <c r="L40" t="n">
        <v>0</v>
      </c>
      <c r="M40" t="n">
        <v>0</v>
      </c>
      <c r="N40" t="n">
        <v>0</v>
      </c>
      <c r="O40" t="n">
        <v>0</v>
      </c>
      <c r="P40" t="n">
        <v>0</v>
      </c>
      <c r="Q40" t="n">
        <v>0</v>
      </c>
      <c r="R40" t="n">
        <v>0</v>
      </c>
      <c r="S40" t="n">
        <v>3</v>
      </c>
      <c r="T40" t="n">
        <v>3</v>
      </c>
      <c r="U40" t="n">
        <v>0</v>
      </c>
      <c r="V40" s="2" t="inlineStr">
        <is>
          <t>Grönpyrola
Nattviol
Revlummer</t>
        </is>
      </c>
      <c r="W40">
        <f>HYPERLINK("https://klasma.github.io/Logging_1882/artfynd/A 43217-2026 artfynd.xlsx", "A 43217-2026")</f>
        <v/>
      </c>
      <c r="X40">
        <f>HYPERLINK("https://klasma.github.io/Logging_1882/kartor/A 43217-2026 karta.png", "A 43217-2026")</f>
        <v/>
      </c>
      <c r="Y40">
        <f>HYPERLINK("https://klasma.github.io/Logging_1882/kartor_geotiff/A 43217-2026 georefererad karta.tif", "A 43217-2026")</f>
        <v/>
      </c>
      <c r="AA40">
        <f>HYPERLINK("https://klasma.github.io/Logging_1882/klagomål/A 43217-2026 FSC-klagomål.docx", "A 43217-2026")</f>
        <v/>
      </c>
      <c r="AB40">
        <f>HYPERLINK("https://klasma.github.io/Logging_1882/klagomålsmail/A 43217-2026 FSC-klagomål mail.docx", "A 43217-2026")</f>
        <v/>
      </c>
      <c r="AC40">
        <f>HYPERLINK("https://klasma.github.io/Logging_1882/tillsyn/A 43217-2026 tillsynsbegäran.docx", "A 43217-2026")</f>
        <v/>
      </c>
      <c r="AD40">
        <f>HYPERLINK("https://klasma.github.io/Logging_1882/tillsynsmail/A 43217-2026 tillsynsbegäran mail.docx", "A 43217-2026")</f>
        <v/>
      </c>
    </row>
    <row r="41" ht="15" customHeight="1">
      <c r="A41" t="inlineStr">
        <is>
          <t>A 26868-2025</t>
        </is>
      </c>
      <c r="B41" t="inlineStr">
        <is>
          <t>avverkningsanmälan</t>
        </is>
      </c>
      <c r="C41" t="inlineStr">
        <is>
          <t>Avverkning för annat ändamål</t>
        </is>
      </c>
      <c r="D41" s="1" t="n">
        <v>45810</v>
      </c>
      <c r="E41" s="1" t="n">
        <v>46326</v>
      </c>
      <c r="F41" t="inlineStr">
        <is>
          <t>ÖREBRO LÄN</t>
        </is>
      </c>
      <c r="G41" t="inlineStr">
        <is>
          <t>ASKERSUND</t>
        </is>
      </c>
      <c r="H41" t="inlineStr">
        <is>
          <t>Sveaskog</t>
        </is>
      </c>
      <c r="I41" t="n">
        <v>3.9</v>
      </c>
      <c r="J41" t="n">
        <v>3</v>
      </c>
      <c r="K41" t="n">
        <v>0</v>
      </c>
      <c r="L41" t="n">
        <v>0</v>
      </c>
      <c r="M41" t="n">
        <v>0</v>
      </c>
      <c r="N41" t="n">
        <v>0</v>
      </c>
      <c r="O41" t="n">
        <v>0</v>
      </c>
      <c r="P41" t="n">
        <v>0</v>
      </c>
      <c r="Q41" t="n">
        <v>0</v>
      </c>
      <c r="R41" t="n">
        <v>0</v>
      </c>
      <c r="S41" t="n">
        <v>3</v>
      </c>
      <c r="T41" t="n">
        <v>9</v>
      </c>
      <c r="U41" t="n">
        <v>9</v>
      </c>
      <c r="V41" s="2" t="inlineStr">
        <is>
          <t>Blåsippa
Mattlummer
Vanlig groda</t>
        </is>
      </c>
      <c r="W41">
        <f>HYPERLINK("https://klasma.github.io/Logging_1882/artfynd/A 26868-2025 artfynd.xlsx", "A 26868-2025")</f>
        <v/>
      </c>
      <c r="X41">
        <f>HYPERLINK("https://klasma.github.io/Logging_1882/kartor/A 26868-2025 karta.png", "A 26868-2025")</f>
        <v/>
      </c>
      <c r="Y41">
        <f>HYPERLINK("https://klasma.github.io/Logging_1882/kartor_geotiff/A 26868-2025 georefererad karta.tif", "A 26868-2025")</f>
        <v/>
      </c>
      <c r="AA41">
        <f>HYPERLINK("https://klasma.github.io/Logging_1882/klagomål/A 26868-2025 FSC-klagomål.docx", "A 26868-2025")</f>
        <v/>
      </c>
      <c r="AB41">
        <f>HYPERLINK("https://klasma.github.io/Logging_1882/klagomålsmail/A 26868-2025 FSC-klagomål mail.docx", "A 26868-2025")</f>
        <v/>
      </c>
      <c r="AC41">
        <f>HYPERLINK("https://klasma.github.io/Logging_1882/tillsyn/A 26868-2025 tillsynsbegäran.docx", "A 26868-2025")</f>
        <v/>
      </c>
      <c r="AD41">
        <f>HYPERLINK("https://klasma.github.io/Logging_1882/tillsynsmail/A 26868-2025 tillsynsbegäran mail.docx", "A 26868-2025")</f>
        <v/>
      </c>
    </row>
    <row r="42" ht="15" customHeight="1">
      <c r="A42" t="inlineStr">
        <is>
          <t>S 1509-2022</t>
        </is>
      </c>
      <c r="B42" t="inlineStr">
        <is>
          <t>samrådsanmälan</t>
        </is>
      </c>
      <c r="C42" t="inlineStr">
        <is>
          <t>Annan skogsbruksåtgärd</t>
        </is>
      </c>
      <c r="D42" s="1" t="n">
        <v>44638</v>
      </c>
      <c r="E42" s="1" t="n">
        <v>46326</v>
      </c>
      <c r="F42" t="inlineStr">
        <is>
          <t>ÖREBRO LÄN</t>
        </is>
      </c>
      <c r="G42" t="inlineStr">
        <is>
          <t>ASKERSUND</t>
        </is>
      </c>
      <c r="I42" t="n">
        <v>1</v>
      </c>
      <c r="J42" t="n">
        <v>1</v>
      </c>
      <c r="K42" t="n">
        <v>1</v>
      </c>
      <c r="L42" t="n">
        <v>1</v>
      </c>
      <c r="M42" t="n">
        <v>1</v>
      </c>
      <c r="N42" t="n">
        <v>0</v>
      </c>
      <c r="O42" t="n">
        <v>0</v>
      </c>
      <c r="P42" t="n">
        <v>0</v>
      </c>
      <c r="Q42" t="n">
        <v>2</v>
      </c>
      <c r="R42" t="n">
        <v>1</v>
      </c>
      <c r="S42" t="n">
        <v>3</v>
      </c>
      <c r="T42" t="n">
        <v>5</v>
      </c>
      <c r="U42" t="n">
        <v>4</v>
      </c>
      <c r="V42" s="2" t="inlineStr">
        <is>
          <t>Knärot
Motaggsvamp
Björksplintborre</t>
        </is>
      </c>
      <c r="W42">
        <f>HYPERLINK("https://klasma.github.io/Logging_1882/artfynd/S 1509-2022 artfynd.xlsx", "S 1509-2022")</f>
        <v/>
      </c>
      <c r="X42">
        <f>HYPERLINK("https://klasma.github.io/Logging_1882/kartor/S 1509-2022 karta.png", "S 1509-2022")</f>
        <v/>
      </c>
      <c r="Y42">
        <f>HYPERLINK("https://klasma.github.io/Logging_1882/kartor_geotiff/S 1509-2022 georefererad karta.tif", "S 1509-2022")</f>
        <v/>
      </c>
      <c r="Z42">
        <f>HYPERLINK("https://klasma.github.io/Logging_1882/knärot/S 1509-2022 karta knärot.png", "S 1509-2022")</f>
        <v/>
      </c>
      <c r="AA42">
        <f>HYPERLINK("https://klasma.github.io/Logging_1882/klagomål/S 1509-2022 FSC-klagomål.docx", "S 1509-2022")</f>
        <v/>
      </c>
      <c r="AB42">
        <f>HYPERLINK("https://klasma.github.io/Logging_1882/klagomålsmail/S 1509-2022 FSC-klagomål mail.docx", "S 1509-2022")</f>
        <v/>
      </c>
      <c r="AC42">
        <f>HYPERLINK("https://klasma.github.io/Logging_1882/tillsyn/S 1509-2022 tillsynsbegäran.docx", "S 1509-2022")</f>
        <v/>
      </c>
      <c r="AD42">
        <f>HYPERLINK("https://klasma.github.io/Logging_1882/tillsynsmail/S 1509-2022 tillsynsbegäran mail.docx", "S 1509-2022")</f>
        <v/>
      </c>
    </row>
    <row r="43" ht="15" customHeight="1">
      <c r="A43" t="inlineStr">
        <is>
          <t>S 639-2023</t>
        </is>
      </c>
      <c r="B43" t="inlineStr">
        <is>
          <t>samrådsanmälan</t>
        </is>
      </c>
      <c r="C43" t="inlineStr">
        <is>
          <t>Annan skogsbruksåtgärd</t>
        </is>
      </c>
      <c r="D43" s="1" t="n">
        <v>44973</v>
      </c>
      <c r="E43" s="1" t="n">
        <v>46326</v>
      </c>
      <c r="F43" t="inlineStr">
        <is>
          <t>ÖREBRO LÄN</t>
        </is>
      </c>
      <c r="G43" t="inlineStr">
        <is>
          <t>ASKERSUND</t>
        </is>
      </c>
      <c r="H43" t="inlineStr">
        <is>
          <t>Sveaskog</t>
        </is>
      </c>
      <c r="I43" t="n">
        <v>4.9</v>
      </c>
      <c r="J43" t="n">
        <v>1</v>
      </c>
      <c r="K43" t="n">
        <v>0</v>
      </c>
      <c r="L43" t="n">
        <v>1</v>
      </c>
      <c r="M43" t="n">
        <v>0</v>
      </c>
      <c r="N43" t="n">
        <v>1</v>
      </c>
      <c r="O43" t="n">
        <v>0</v>
      </c>
      <c r="P43" t="n">
        <v>0</v>
      </c>
      <c r="Q43" t="n">
        <v>2</v>
      </c>
      <c r="R43" t="n">
        <v>1</v>
      </c>
      <c r="S43" t="n">
        <v>3</v>
      </c>
      <c r="T43" t="n">
        <v>3</v>
      </c>
      <c r="U43" t="n">
        <v>0</v>
      </c>
      <c r="V43" s="2" t="inlineStr">
        <is>
          <t>Ask
Slåtterfibbla
Blåsippa</t>
        </is>
      </c>
      <c r="W43">
        <f>HYPERLINK("https://klasma.github.io/Logging_1882/artfynd/S 639-2023 artfynd.xlsx", "S 639-2023")</f>
        <v/>
      </c>
      <c r="X43">
        <f>HYPERLINK("https://klasma.github.io/Logging_1882/kartor/S 639-2023 karta.png", "S 639-2023")</f>
        <v/>
      </c>
      <c r="Y43">
        <f>HYPERLINK("https://klasma.github.io/Logging_1882/kartor_geotiff/S 639-2023 georefererad karta.tif", "S 639-2023")</f>
        <v/>
      </c>
      <c r="AA43">
        <f>HYPERLINK("https://klasma.github.io/Logging_1882/klagomål/S 639-2023 FSC-klagomål.docx", "S 639-2023")</f>
        <v/>
      </c>
      <c r="AB43">
        <f>HYPERLINK("https://klasma.github.io/Logging_1882/klagomålsmail/S 639-2023 FSC-klagomål mail.docx", "S 639-2023")</f>
        <v/>
      </c>
      <c r="AC43">
        <f>HYPERLINK("https://klasma.github.io/Logging_1882/tillsyn/S 639-2023 tillsynsbegäran.docx", "S 639-2023")</f>
        <v/>
      </c>
      <c r="AD43">
        <f>HYPERLINK("https://klasma.github.io/Logging_1882/tillsynsmail/S 639-2023 tillsynsbegäran mail.docx", "S 639-2023")</f>
        <v/>
      </c>
    </row>
    <row r="44" ht="15" customHeight="1">
      <c r="A44" t="inlineStr">
        <is>
          <t>A 22787-2022</t>
        </is>
      </c>
      <c r="B44" t="inlineStr">
        <is>
          <t>avverkningsanmälan</t>
        </is>
      </c>
      <c r="C44" t="inlineStr">
        <is>
          <t>Föryngringsavverkning</t>
        </is>
      </c>
      <c r="D44" s="1" t="n">
        <v>44714</v>
      </c>
      <c r="E44" s="1" t="n">
        <v>46326</v>
      </c>
      <c r="F44" t="inlineStr">
        <is>
          <t>ÖREBRO LÄN</t>
        </is>
      </c>
      <c r="G44" t="inlineStr">
        <is>
          <t>ASKERSUND</t>
        </is>
      </c>
      <c r="I44" t="n">
        <v>3.7</v>
      </c>
      <c r="J44" t="n">
        <v>1</v>
      </c>
      <c r="K44" t="n">
        <v>1</v>
      </c>
      <c r="L44" t="n">
        <v>0</v>
      </c>
      <c r="M44" t="n">
        <v>0</v>
      </c>
      <c r="N44" t="n">
        <v>0</v>
      </c>
      <c r="O44" t="n">
        <v>0</v>
      </c>
      <c r="P44" t="n">
        <v>0</v>
      </c>
      <c r="Q44" t="n">
        <v>0</v>
      </c>
      <c r="R44" t="n">
        <v>0</v>
      </c>
      <c r="S44" t="n">
        <v>2</v>
      </c>
      <c r="T44" t="n">
        <v>2</v>
      </c>
      <c r="U44" t="n">
        <v>2</v>
      </c>
      <c r="V44" s="2" t="inlineStr">
        <is>
          <t>Björksplintborre
Revlummer</t>
        </is>
      </c>
      <c r="W44">
        <f>HYPERLINK("https://klasma.github.io/Logging_1882/artfynd/A 22787-2022 artfynd.xlsx", "A 22787-2022")</f>
        <v/>
      </c>
      <c r="X44">
        <f>HYPERLINK("https://klasma.github.io/Logging_1882/kartor/A 22787-2022 karta.png", "A 22787-2022")</f>
        <v/>
      </c>
      <c r="Y44">
        <f>HYPERLINK("https://klasma.github.io/Logging_1882/kartor_geotiff/A 22787-2022 georefererad karta.tif", "A 22787-2022")</f>
        <v/>
      </c>
      <c r="AA44">
        <f>HYPERLINK("https://klasma.github.io/Logging_1882/klagomål/A 22787-2022 FSC-klagomål.docx", "A 22787-2022")</f>
        <v/>
      </c>
      <c r="AB44">
        <f>HYPERLINK("https://klasma.github.io/Logging_1882/klagomålsmail/A 22787-2022 FSC-klagomål mail.docx", "A 22787-2022")</f>
        <v/>
      </c>
      <c r="AC44">
        <f>HYPERLINK("https://klasma.github.io/Logging_1882/tillsyn/A 22787-2022 tillsynsbegäran.docx", "A 22787-2022")</f>
        <v/>
      </c>
      <c r="AD44">
        <f>HYPERLINK("https://klasma.github.io/Logging_1882/tillsynsmail/A 22787-2022 tillsynsbegäran mail.docx", "A 22787-2022")</f>
        <v/>
      </c>
    </row>
    <row r="45" ht="15" customHeight="1">
      <c r="A45" t="inlineStr">
        <is>
          <t>A 3460-2025</t>
        </is>
      </c>
      <c r="B45" t="inlineStr">
        <is>
          <t>avverkningsanmälan</t>
        </is>
      </c>
      <c r="C45" t="inlineStr">
        <is>
          <t>Avverkning för att bevara och utveckla /försöksver</t>
        </is>
      </c>
      <c r="D45" s="1" t="n">
        <v>45680</v>
      </c>
      <c r="E45" s="1" t="n">
        <v>46326</v>
      </c>
      <c r="F45" t="inlineStr">
        <is>
          <t>ÖREBRO LÄN</t>
        </is>
      </c>
      <c r="G45" t="inlineStr">
        <is>
          <t>ASKERSUND</t>
        </is>
      </c>
      <c r="H45" t="inlineStr">
        <is>
          <t>Sveaskog</t>
        </is>
      </c>
      <c r="I45" t="n">
        <v>2.5</v>
      </c>
      <c r="J45" t="n">
        <v>2</v>
      </c>
      <c r="K45" t="n">
        <v>0</v>
      </c>
      <c r="L45" t="n">
        <v>0</v>
      </c>
      <c r="M45" t="n">
        <v>0</v>
      </c>
      <c r="N45" t="n">
        <v>0</v>
      </c>
      <c r="O45" t="n">
        <v>0</v>
      </c>
      <c r="P45" t="n">
        <v>0</v>
      </c>
      <c r="Q45" t="n">
        <v>0</v>
      </c>
      <c r="R45" t="n">
        <v>0</v>
      </c>
      <c r="S45" t="n">
        <v>2</v>
      </c>
      <c r="T45" t="n">
        <v>2</v>
      </c>
      <c r="U45" t="n">
        <v>0</v>
      </c>
      <c r="V45" s="2" t="inlineStr">
        <is>
          <t>Mattlummer
Fläcknycklar</t>
        </is>
      </c>
      <c r="W45">
        <f>HYPERLINK("https://klasma.github.io/Logging_1882/artfynd/A 3460-2025 artfynd.xlsx", "A 3460-2025")</f>
        <v/>
      </c>
      <c r="X45">
        <f>HYPERLINK("https://klasma.github.io/Logging_1882/kartor/A 3460-2025 karta.png", "A 3460-2025")</f>
        <v/>
      </c>
      <c r="Y45">
        <f>HYPERLINK("https://klasma.github.io/Logging_1882/kartor_geotiff/A 3460-2025 georefererad karta.tif", "A 3460-2025")</f>
        <v/>
      </c>
      <c r="AA45">
        <f>HYPERLINK("https://klasma.github.io/Logging_1882/klagomål/A 3460-2025 FSC-klagomål.docx", "A 3460-2025")</f>
        <v/>
      </c>
      <c r="AB45">
        <f>HYPERLINK("https://klasma.github.io/Logging_1882/klagomålsmail/A 3460-2025 FSC-klagomål mail.docx", "A 3460-2025")</f>
        <v/>
      </c>
      <c r="AC45">
        <f>HYPERLINK("https://klasma.github.io/Logging_1882/tillsyn/A 3460-2025 tillsynsbegäran.docx", "A 3460-2025")</f>
        <v/>
      </c>
      <c r="AD45">
        <f>HYPERLINK("https://klasma.github.io/Logging_1882/tillsynsmail/A 3460-2025 tillsynsbegäran mail.docx", "A 3460-2025")</f>
        <v/>
      </c>
    </row>
    <row r="46" ht="15" customHeight="1">
      <c r="A46" t="inlineStr">
        <is>
          <t>A 23750-2022</t>
        </is>
      </c>
      <c r="B46" t="inlineStr">
        <is>
          <t>avverkningsanmälan</t>
        </is>
      </c>
      <c r="C46" t="inlineStr">
        <is>
          <t>Föryngringsavverkning</t>
        </is>
      </c>
      <c r="D46" s="1" t="n">
        <v>44722</v>
      </c>
      <c r="E46" s="1" t="n">
        <v>46326</v>
      </c>
      <c r="F46" t="inlineStr">
        <is>
          <t>ÖREBRO LÄN</t>
        </is>
      </c>
      <c r="G46" t="inlineStr">
        <is>
          <t>ASKERSUND</t>
        </is>
      </c>
      <c r="H46" t="inlineStr">
        <is>
          <t>Sveaskog</t>
        </is>
      </c>
      <c r="I46" t="n">
        <v>4.3</v>
      </c>
      <c r="J46" t="n">
        <v>2</v>
      </c>
      <c r="K46" t="n">
        <v>0</v>
      </c>
      <c r="L46" t="n">
        <v>0</v>
      </c>
      <c r="M46" t="n">
        <v>0</v>
      </c>
      <c r="N46" t="n">
        <v>0</v>
      </c>
      <c r="O46" t="n">
        <v>0</v>
      </c>
      <c r="P46" t="n">
        <v>0</v>
      </c>
      <c r="Q46" t="n">
        <v>0</v>
      </c>
      <c r="R46" t="n">
        <v>0</v>
      </c>
      <c r="S46" t="n">
        <v>2</v>
      </c>
      <c r="T46" t="n">
        <v>3</v>
      </c>
      <c r="U46" t="n">
        <v>3</v>
      </c>
      <c r="V46" s="2" t="inlineStr">
        <is>
          <t>Blåsippa
Revlummer</t>
        </is>
      </c>
      <c r="W46">
        <f>HYPERLINK("https://klasma.github.io/Logging_1882/artfynd/A 23750-2022 artfynd.xlsx", "A 23750-2022")</f>
        <v/>
      </c>
      <c r="X46">
        <f>HYPERLINK("https://klasma.github.io/Logging_1882/kartor/A 23750-2022 karta.png", "A 23750-2022")</f>
        <v/>
      </c>
      <c r="Y46">
        <f>HYPERLINK("https://klasma.github.io/Logging_1882/kartor_geotiff/A 23750-2022 georefererad karta.tif", "A 23750-2022")</f>
        <v/>
      </c>
      <c r="AA46">
        <f>HYPERLINK("https://klasma.github.io/Logging_1882/klagomål/A 23750-2022 FSC-klagomål.docx", "A 23750-2022")</f>
        <v/>
      </c>
      <c r="AB46">
        <f>HYPERLINK("https://klasma.github.io/Logging_1882/klagomålsmail/A 23750-2022 FSC-klagomål mail.docx", "A 23750-2022")</f>
        <v/>
      </c>
      <c r="AC46">
        <f>HYPERLINK("https://klasma.github.io/Logging_1882/tillsyn/A 23750-2022 tillsynsbegäran.docx", "A 23750-2022")</f>
        <v/>
      </c>
      <c r="AD46">
        <f>HYPERLINK("https://klasma.github.io/Logging_1882/tillsynsmail/A 23750-2022 tillsynsbegäran mail.docx", "A 23750-2022")</f>
        <v/>
      </c>
    </row>
    <row r="47" ht="15" customHeight="1">
      <c r="A47" t="inlineStr">
        <is>
          <t>A 25006-2026</t>
        </is>
      </c>
      <c r="B47" t="inlineStr">
        <is>
          <t>avverkningsanmälan</t>
        </is>
      </c>
      <c r="C47" t="inlineStr">
        <is>
          <t>Föryngringsavverkning</t>
        </is>
      </c>
      <c r="D47" s="1" t="n">
        <v>46174</v>
      </c>
      <c r="E47" s="1" t="n">
        <v>46326</v>
      </c>
      <c r="F47" t="inlineStr">
        <is>
          <t>ÖREBRO LÄN</t>
        </is>
      </c>
      <c r="G47" t="inlineStr">
        <is>
          <t>ASKERSUND</t>
        </is>
      </c>
      <c r="H47" t="inlineStr">
        <is>
          <t>Sveaskog</t>
        </is>
      </c>
      <c r="I47" t="n">
        <v>6.2</v>
      </c>
      <c r="J47" t="n">
        <v>1</v>
      </c>
      <c r="K47" t="n">
        <v>0</v>
      </c>
      <c r="L47" t="n">
        <v>1</v>
      </c>
      <c r="M47" t="n">
        <v>0</v>
      </c>
      <c r="N47" t="n">
        <v>0</v>
      </c>
      <c r="O47" t="n">
        <v>0</v>
      </c>
      <c r="P47" t="n">
        <v>0</v>
      </c>
      <c r="Q47" t="n">
        <v>1</v>
      </c>
      <c r="R47" t="n">
        <v>0</v>
      </c>
      <c r="S47" t="n">
        <v>2</v>
      </c>
      <c r="T47" t="n">
        <v>2</v>
      </c>
      <c r="U47" t="n">
        <v>0</v>
      </c>
      <c r="V47" s="2" t="inlineStr">
        <is>
          <t>Fjällig taggsvamp s.str.
Revlummer</t>
        </is>
      </c>
      <c r="W47">
        <f>HYPERLINK("https://klasma.github.io/Logging_1882/artfynd/A 25006-2026 artfynd.xlsx", "A 25006-2026")</f>
        <v/>
      </c>
      <c r="X47">
        <f>HYPERLINK("https://klasma.github.io/Logging_1882/kartor/A 25006-2026 karta.png", "A 25006-2026")</f>
        <v/>
      </c>
      <c r="Y47">
        <f>HYPERLINK("https://klasma.github.io/Logging_1882/kartor_geotiff/A 25006-2026 georefererad karta.tif", "A 25006-2026")</f>
        <v/>
      </c>
      <c r="AA47">
        <f>HYPERLINK("https://klasma.github.io/Logging_1882/klagomål/A 25006-2026 FSC-klagomål.docx", "A 25006-2026")</f>
        <v/>
      </c>
      <c r="AB47">
        <f>HYPERLINK("https://klasma.github.io/Logging_1882/klagomålsmail/A 25006-2026 FSC-klagomål mail.docx", "A 25006-2026")</f>
        <v/>
      </c>
      <c r="AC47">
        <f>HYPERLINK("https://klasma.github.io/Logging_1882/tillsyn/A 25006-2026 tillsynsbegäran.docx", "A 25006-2026")</f>
        <v/>
      </c>
      <c r="AD47">
        <f>HYPERLINK("https://klasma.github.io/Logging_1882/tillsynsmail/A 25006-2026 tillsynsbegäran mail.docx", "A 25006-2026")</f>
        <v/>
      </c>
    </row>
    <row r="48" ht="15" customHeight="1">
      <c r="A48" t="inlineStr">
        <is>
          <t>A 27023-2026</t>
        </is>
      </c>
      <c r="B48" t="inlineStr">
        <is>
          <t>avverkningsanmälan</t>
        </is>
      </c>
      <c r="C48" t="inlineStr">
        <is>
          <t>Föryngringsavverkning</t>
        </is>
      </c>
      <c r="D48" s="1" t="n">
        <v>46185</v>
      </c>
      <c r="E48" s="1" t="n">
        <v>46326</v>
      </c>
      <c r="F48" t="inlineStr">
        <is>
          <t>ÖREBRO LÄN</t>
        </is>
      </c>
      <c r="G48" t="inlineStr">
        <is>
          <t>ASKERSUND</t>
        </is>
      </c>
      <c r="H48" t="inlineStr">
        <is>
          <t>Sveaskog</t>
        </is>
      </c>
      <c r="I48" t="n">
        <v>2.3</v>
      </c>
      <c r="J48" t="n">
        <v>1</v>
      </c>
      <c r="K48" t="n">
        <v>1</v>
      </c>
      <c r="L48" t="n">
        <v>0</v>
      </c>
      <c r="M48" t="n">
        <v>0</v>
      </c>
      <c r="N48" t="n">
        <v>0</v>
      </c>
      <c r="O48" t="n">
        <v>0</v>
      </c>
      <c r="P48" t="n">
        <v>0</v>
      </c>
      <c r="Q48" t="n">
        <v>0</v>
      </c>
      <c r="R48" t="n">
        <v>0</v>
      </c>
      <c r="S48" t="n">
        <v>2</v>
      </c>
      <c r="T48" t="n">
        <v>2</v>
      </c>
      <c r="U48" t="n">
        <v>0</v>
      </c>
      <c r="V48" s="2" t="inlineStr">
        <is>
          <t>Grönpyrola
Blåsippa</t>
        </is>
      </c>
      <c r="W48">
        <f>HYPERLINK("https://klasma.github.io/Logging_1882/artfynd/A 27023-2026 artfynd.xlsx", "A 27023-2026")</f>
        <v/>
      </c>
      <c r="X48">
        <f>HYPERLINK("https://klasma.github.io/Logging_1882/kartor/A 27023-2026 karta.png", "A 27023-2026")</f>
        <v/>
      </c>
      <c r="Y48">
        <f>HYPERLINK("https://klasma.github.io/Logging_1882/kartor_geotiff/A 27023-2026 georefererad karta.tif", "A 27023-2026")</f>
        <v/>
      </c>
      <c r="AA48">
        <f>HYPERLINK("https://klasma.github.io/Logging_1882/klagomål/A 27023-2026 FSC-klagomål.docx", "A 27023-2026")</f>
        <v/>
      </c>
      <c r="AB48">
        <f>HYPERLINK("https://klasma.github.io/Logging_1882/klagomålsmail/A 27023-2026 FSC-klagomål mail.docx", "A 27023-2026")</f>
        <v/>
      </c>
      <c r="AC48">
        <f>HYPERLINK("https://klasma.github.io/Logging_1882/tillsyn/A 27023-2026 tillsynsbegäran.docx", "A 27023-2026")</f>
        <v/>
      </c>
      <c r="AD48">
        <f>HYPERLINK("https://klasma.github.io/Logging_1882/tillsynsmail/A 27023-2026 tillsynsbegäran mail.docx", "A 27023-2026")</f>
        <v/>
      </c>
    </row>
    <row r="49" ht="15" customHeight="1">
      <c r="A49" t="inlineStr">
        <is>
          <t>A 35059-2026</t>
        </is>
      </c>
      <c r="B49" t="inlineStr">
        <is>
          <t>avverkningsanmälan</t>
        </is>
      </c>
      <c r="C49" t="inlineStr">
        <is>
          <t>Föryngringsavverkning</t>
        </is>
      </c>
      <c r="D49" s="1" t="n">
        <v>46259</v>
      </c>
      <c r="E49" s="1" t="n">
        <v>46326</v>
      </c>
      <c r="F49" t="inlineStr">
        <is>
          <t>ÖREBRO LÄN</t>
        </is>
      </c>
      <c r="G49" t="inlineStr">
        <is>
          <t>ASKERSUND</t>
        </is>
      </c>
      <c r="I49" t="n">
        <v>8.800000000000001</v>
      </c>
      <c r="J49" t="n">
        <v>0</v>
      </c>
      <c r="K49" t="n">
        <v>0</v>
      </c>
      <c r="L49" t="n">
        <v>2</v>
      </c>
      <c r="M49" t="n">
        <v>0</v>
      </c>
      <c r="N49" t="n">
        <v>0</v>
      </c>
      <c r="O49" t="n">
        <v>0</v>
      </c>
      <c r="P49" t="n">
        <v>0</v>
      </c>
      <c r="Q49" t="n">
        <v>2</v>
      </c>
      <c r="R49" t="n">
        <v>0</v>
      </c>
      <c r="S49" t="n">
        <v>2</v>
      </c>
      <c r="T49" t="n">
        <v>2</v>
      </c>
      <c r="U49" t="n">
        <v>0</v>
      </c>
      <c r="V49" s="2" t="inlineStr">
        <is>
          <t>Ekticka
Skogsklocka</t>
        </is>
      </c>
      <c r="W49">
        <f>HYPERLINK("https://klasma.github.io/Logging_1882/artfynd/A 35059-2026 artfynd.xlsx", "A 35059-2026")</f>
        <v/>
      </c>
      <c r="X49">
        <f>HYPERLINK("https://klasma.github.io/Logging_1882/kartor/A 35059-2026 karta.png", "A 35059-2026")</f>
        <v/>
      </c>
      <c r="Y49">
        <f>HYPERLINK("https://klasma.github.io/Logging_1882/kartor_geotiff/A 35059-2026 georefererad karta.tif", "A 35059-2026")</f>
        <v/>
      </c>
      <c r="AA49">
        <f>HYPERLINK("https://klasma.github.io/Logging_1882/klagomål/A 35059-2026 FSC-klagomål.docx", "A 35059-2026")</f>
        <v/>
      </c>
      <c r="AB49">
        <f>HYPERLINK("https://klasma.github.io/Logging_1882/klagomålsmail/A 35059-2026 FSC-klagomål mail.docx", "A 35059-2026")</f>
        <v/>
      </c>
      <c r="AC49">
        <f>HYPERLINK("https://klasma.github.io/Logging_1882/tillsyn/A 35059-2026 tillsynsbegäran.docx", "A 35059-2026")</f>
        <v/>
      </c>
      <c r="AD49">
        <f>HYPERLINK("https://klasma.github.io/Logging_1882/tillsynsmail/A 35059-2026 tillsynsbegäran mail.docx", "A 35059-2026")</f>
        <v/>
      </c>
    </row>
    <row r="50" ht="15" customHeight="1">
      <c r="A50" t="inlineStr">
        <is>
          <t>S 1741-2026</t>
        </is>
      </c>
      <c r="B50" t="inlineStr">
        <is>
          <t>samrådsanmälan</t>
        </is>
      </c>
      <c r="C50" t="inlineStr">
        <is>
          <t>Annan skogsbruksåtgärd</t>
        </is>
      </c>
      <c r="D50" s="1" t="n">
        <v>46181</v>
      </c>
      <c r="E50" s="1" t="n">
        <v>46326</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46326</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46326</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46326</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46326</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5044-2022</t>
        </is>
      </c>
      <c r="B55" t="inlineStr">
        <is>
          <t>avverkningsanmälan</t>
        </is>
      </c>
      <c r="C55" t="inlineStr">
        <is>
          <t>Föryngringsavverkning</t>
        </is>
      </c>
      <c r="D55" s="1" t="n">
        <v>44593</v>
      </c>
      <c r="E55" s="1" t="n">
        <v>46326</v>
      </c>
      <c r="F55" t="inlineStr">
        <is>
          <t>ÖREBRO LÄN</t>
        </is>
      </c>
      <c r="G55" t="inlineStr">
        <is>
          <t>ASKERSUND</t>
        </is>
      </c>
      <c r="H55" t="inlineStr">
        <is>
          <t>Allmännings- och besparingsskogar</t>
        </is>
      </c>
      <c r="I55" t="n">
        <v>4</v>
      </c>
      <c r="J55" t="n">
        <v>0</v>
      </c>
      <c r="K55" t="n">
        <v>0</v>
      </c>
      <c r="L55" t="n">
        <v>1</v>
      </c>
      <c r="M55" t="n">
        <v>0</v>
      </c>
      <c r="N55" t="n">
        <v>0</v>
      </c>
      <c r="O55" t="n">
        <v>0</v>
      </c>
      <c r="P55" t="n">
        <v>0</v>
      </c>
      <c r="Q55" t="n">
        <v>1</v>
      </c>
      <c r="R55" t="n">
        <v>0</v>
      </c>
      <c r="S55" t="n">
        <v>1</v>
      </c>
      <c r="T55" t="n">
        <v>1</v>
      </c>
      <c r="U55" t="n">
        <v>0</v>
      </c>
      <c r="V55" s="2" t="inlineStr">
        <is>
          <t>Jungfrulin</t>
        </is>
      </c>
      <c r="W55">
        <f>HYPERLINK("https://klasma.github.io/Logging_1882/artfynd/A 5044-2022 artfynd.xlsx", "A 5044-2022")</f>
        <v/>
      </c>
      <c r="X55">
        <f>HYPERLINK("https://klasma.github.io/Logging_1882/kartor/A 5044-2022 karta.png", "A 5044-2022")</f>
        <v/>
      </c>
      <c r="Y55">
        <f>HYPERLINK("https://klasma.github.io/Logging_1882/kartor_geotiff/A 5044-2022 georefererad karta.tif", "A 5044-2022")</f>
        <v/>
      </c>
      <c r="AA55">
        <f>HYPERLINK("https://klasma.github.io/Logging_1882/klagomål/A 5044-2022 FSC-klagomål.docx", "A 5044-2022")</f>
        <v/>
      </c>
      <c r="AB55">
        <f>HYPERLINK("https://klasma.github.io/Logging_1882/klagomålsmail/A 5044-2022 FSC-klagomål mail.docx", "A 5044-2022")</f>
        <v/>
      </c>
      <c r="AC55">
        <f>HYPERLINK("https://klasma.github.io/Logging_1882/tillsyn/A 5044-2022 tillsynsbegäran.docx", "A 5044-2022")</f>
        <v/>
      </c>
      <c r="AD55">
        <f>HYPERLINK("https://klasma.github.io/Logging_1882/tillsynsmail/A 5044-2022 tillsynsbegäran mail.docx", "A 5044-2022")</f>
        <v/>
      </c>
    </row>
    <row r="56" ht="15" customHeight="1">
      <c r="A56" t="inlineStr">
        <is>
          <t>A 56967-2023</t>
        </is>
      </c>
      <c r="B56" t="inlineStr">
        <is>
          <t>avverkningsanmälan</t>
        </is>
      </c>
      <c r="C56" t="inlineStr">
        <is>
          <t>Föryngringsavverkning</t>
        </is>
      </c>
      <c r="D56" s="1" t="n">
        <v>45244</v>
      </c>
      <c r="E56" s="1" t="n">
        <v>46326</v>
      </c>
      <c r="F56" t="inlineStr">
        <is>
          <t>ÖREBRO LÄN</t>
        </is>
      </c>
      <c r="G56" t="inlineStr">
        <is>
          <t>ASKERSUND</t>
        </is>
      </c>
      <c r="H56" t="inlineStr">
        <is>
          <t>Sveaskog</t>
        </is>
      </c>
      <c r="I56" t="n">
        <v>3.4</v>
      </c>
      <c r="J56" t="n">
        <v>0</v>
      </c>
      <c r="K56" t="n">
        <v>0</v>
      </c>
      <c r="L56" t="n">
        <v>1</v>
      </c>
      <c r="M56" t="n">
        <v>0</v>
      </c>
      <c r="N56" t="n">
        <v>0</v>
      </c>
      <c r="O56" t="n">
        <v>0</v>
      </c>
      <c r="P56" t="n">
        <v>0</v>
      </c>
      <c r="Q56" t="n">
        <v>1</v>
      </c>
      <c r="R56" t="n">
        <v>0</v>
      </c>
      <c r="S56" t="n">
        <v>1</v>
      </c>
      <c r="T56" t="n">
        <v>1</v>
      </c>
      <c r="U56" t="n">
        <v>0</v>
      </c>
      <c r="V56" s="2" t="inlineStr">
        <is>
          <t>Skogstrappmossa</t>
        </is>
      </c>
      <c r="W56">
        <f>HYPERLINK("https://klasma.github.io/Logging_1882/artfynd/A 56967-2023 artfynd.xlsx", "A 56967-2023")</f>
        <v/>
      </c>
      <c r="X56">
        <f>HYPERLINK("https://klasma.github.io/Logging_1882/kartor/A 56967-2023 karta.png", "A 56967-2023")</f>
        <v/>
      </c>
      <c r="Y56">
        <f>HYPERLINK("https://klasma.github.io/Logging_1882/kartor_geotiff/A 56967-2023 georefererad karta.tif", "A 56967-2023")</f>
        <v/>
      </c>
      <c r="AA56">
        <f>HYPERLINK("https://klasma.github.io/Logging_1882/klagomål/A 56967-2023 FSC-klagomål.docx", "A 56967-2023")</f>
        <v/>
      </c>
      <c r="AB56">
        <f>HYPERLINK("https://klasma.github.io/Logging_1882/klagomålsmail/A 56967-2023 FSC-klagomål mail.docx", "A 56967-2023")</f>
        <v/>
      </c>
      <c r="AC56">
        <f>HYPERLINK("https://klasma.github.io/Logging_1882/tillsyn/A 56967-2023 tillsynsbegäran.docx", "A 56967-2023")</f>
        <v/>
      </c>
      <c r="AD56">
        <f>HYPERLINK("https://klasma.github.io/Logging_1882/tillsynsmail/A 56967-2023 tillsynsbegäran mail.docx", "A 56967-2023")</f>
        <v/>
      </c>
    </row>
    <row r="57" ht="15" customHeight="1">
      <c r="A57" t="inlineStr">
        <is>
          <t>A 44888-2024</t>
        </is>
      </c>
      <c r="B57" t="inlineStr">
        <is>
          <t>avverkningsanmälan</t>
        </is>
      </c>
      <c r="C57" t="inlineStr">
        <is>
          <t>Avverkning för att bevara och utveckla /försöksver</t>
        </is>
      </c>
      <c r="D57" s="1" t="n">
        <v>45575</v>
      </c>
      <c r="E57" s="1" t="n">
        <v>46326</v>
      </c>
      <c r="F57" t="inlineStr">
        <is>
          <t>ÖREBRO LÄN</t>
        </is>
      </c>
      <c r="G57" t="inlineStr">
        <is>
          <t>ASKERSUND</t>
        </is>
      </c>
      <c r="H57" t="inlineStr">
        <is>
          <t>Sveaskog</t>
        </is>
      </c>
      <c r="I57" t="n">
        <v>2.4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44888-2024 artfynd.xlsx", "A 44888-2024")</f>
        <v/>
      </c>
      <c r="X57">
        <f>HYPERLINK("https://klasma.github.io/Logging_1882/kartor/A 44888-2024 karta.png", "A 44888-2024")</f>
        <v/>
      </c>
      <c r="Y57">
        <f>HYPERLINK("https://klasma.github.io/Logging_1882/kartor_geotiff/A 44888-2024 georefererad karta.tif", "A 44888-2024")</f>
        <v/>
      </c>
      <c r="AA57">
        <f>HYPERLINK("https://klasma.github.io/Logging_1882/klagomål/A 44888-2024 FSC-klagomål.docx", "A 44888-2024")</f>
        <v/>
      </c>
      <c r="AB57">
        <f>HYPERLINK("https://klasma.github.io/Logging_1882/klagomålsmail/A 44888-2024 FSC-klagomål mail.docx", "A 44888-2024")</f>
        <v/>
      </c>
      <c r="AC57">
        <f>HYPERLINK("https://klasma.github.io/Logging_1882/tillsyn/A 44888-2024 tillsynsbegäran.docx", "A 44888-2024")</f>
        <v/>
      </c>
      <c r="AD57">
        <f>HYPERLINK("https://klasma.github.io/Logging_1882/tillsynsmail/A 44888-2024 tillsynsbegäran mail.docx", "A 44888-2024")</f>
        <v/>
      </c>
    </row>
    <row r="58" ht="15" customHeight="1">
      <c r="A58" t="inlineStr">
        <is>
          <t>A 59920-2023</t>
        </is>
      </c>
      <c r="B58" t="inlineStr">
        <is>
          <t>avverkningsanmälan</t>
        </is>
      </c>
      <c r="C58" t="inlineStr">
        <is>
          <t>Avverkning för annat ändamål</t>
        </is>
      </c>
      <c r="D58" s="1" t="n">
        <v>45257</v>
      </c>
      <c r="E58" s="1" t="n">
        <v>46326</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46326</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48884-2022</t>
        </is>
      </c>
      <c r="B60" t="inlineStr">
        <is>
          <t>avverkningsanmälan</t>
        </is>
      </c>
      <c r="C60" t="inlineStr">
        <is>
          <t>Föryngringsavverkning</t>
        </is>
      </c>
      <c r="D60" s="1" t="n">
        <v>44859</v>
      </c>
      <c r="E60" s="1" t="n">
        <v>46326</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16677-2023</t>
        </is>
      </c>
      <c r="B61" t="inlineStr">
        <is>
          <t>avverkningsanmälan</t>
        </is>
      </c>
      <c r="C61" t="inlineStr">
        <is>
          <t>Föryngringsavverkning</t>
        </is>
      </c>
      <c r="D61" s="1" t="n">
        <v>45030</v>
      </c>
      <c r="E61" s="1" t="n">
        <v>46326</v>
      </c>
      <c r="F61" t="inlineStr">
        <is>
          <t>ÖREBRO LÄN</t>
        </is>
      </c>
      <c r="G61" t="inlineStr">
        <is>
          <t>ASKERSUND</t>
        </is>
      </c>
      <c r="I61" t="n">
        <v>0.9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16677-2023 artfynd.xlsx", "A 16677-2023")</f>
        <v/>
      </c>
      <c r="X61">
        <f>HYPERLINK("https://klasma.github.io/Logging_1882/kartor/A 16677-2023 karta.png", "A 16677-2023")</f>
        <v/>
      </c>
      <c r="Y61">
        <f>HYPERLINK("https://klasma.github.io/Logging_1882/kartor_geotiff/A 16677-2023 georefererad karta.tif", "A 16677-2023")</f>
        <v/>
      </c>
      <c r="AA61">
        <f>HYPERLINK("https://klasma.github.io/Logging_1882/klagomål/A 16677-2023 FSC-klagomål.docx", "A 16677-2023")</f>
        <v/>
      </c>
      <c r="AB61">
        <f>HYPERLINK("https://klasma.github.io/Logging_1882/klagomålsmail/A 16677-2023 FSC-klagomål mail.docx", "A 16677-2023")</f>
        <v/>
      </c>
      <c r="AC61">
        <f>HYPERLINK("https://klasma.github.io/Logging_1882/tillsyn/A 16677-2023 tillsynsbegäran.docx", "A 16677-2023")</f>
        <v/>
      </c>
      <c r="AD61">
        <f>HYPERLINK("https://klasma.github.io/Logging_1882/tillsynsmail/A 16677-2023 tillsynsbegäran mail.docx", "A 16677-2023")</f>
        <v/>
      </c>
    </row>
    <row r="62" ht="15" customHeight="1">
      <c r="A62" t="inlineStr">
        <is>
          <t>A 2445-2025</t>
        </is>
      </c>
      <c r="B62" t="inlineStr">
        <is>
          <t>avverkningsanmälan</t>
        </is>
      </c>
      <c r="C62" t="inlineStr">
        <is>
          <t>Föryngringsavverkning</t>
        </is>
      </c>
      <c r="D62" s="1" t="n">
        <v>45674</v>
      </c>
      <c r="E62" s="1" t="n">
        <v>46326</v>
      </c>
      <c r="F62" t="inlineStr">
        <is>
          <t>ÖREBRO LÄN</t>
        </is>
      </c>
      <c r="G62" t="inlineStr">
        <is>
          <t>ASKERSUND</t>
        </is>
      </c>
      <c r="I62" t="n">
        <v>0.3</v>
      </c>
      <c r="J62" t="n">
        <v>0</v>
      </c>
      <c r="K62" t="n">
        <v>0</v>
      </c>
      <c r="L62" t="n">
        <v>1</v>
      </c>
      <c r="M62" t="n">
        <v>0</v>
      </c>
      <c r="N62" t="n">
        <v>0</v>
      </c>
      <c r="O62" t="n">
        <v>0</v>
      </c>
      <c r="P62" t="n">
        <v>0</v>
      </c>
      <c r="Q62" t="n">
        <v>1</v>
      </c>
      <c r="R62" t="n">
        <v>0</v>
      </c>
      <c r="S62" t="n">
        <v>1</v>
      </c>
      <c r="T62" t="n">
        <v>1</v>
      </c>
      <c r="U62" t="n">
        <v>0</v>
      </c>
      <c r="V62" s="2" t="inlineStr">
        <is>
          <t>Åkerväddsantennmal</t>
        </is>
      </c>
      <c r="W62">
        <f>HYPERLINK("https://klasma.github.io/Logging_1882/artfynd/A 2445-2025 artfynd.xlsx", "A 2445-2025")</f>
        <v/>
      </c>
      <c r="X62">
        <f>HYPERLINK("https://klasma.github.io/Logging_1882/kartor/A 2445-2025 karta.png", "A 2445-2025")</f>
        <v/>
      </c>
      <c r="Y62">
        <f>HYPERLINK("https://klasma.github.io/Logging_1882/kartor_geotiff/A 2445-2025 georefererad karta.tif", "A 2445-2025")</f>
        <v/>
      </c>
      <c r="AA62">
        <f>HYPERLINK("https://klasma.github.io/Logging_1882/klagomål/A 2445-2025 FSC-klagomål.docx", "A 2445-2025")</f>
        <v/>
      </c>
      <c r="AB62">
        <f>HYPERLINK("https://klasma.github.io/Logging_1882/klagomålsmail/A 2445-2025 FSC-klagomål mail.docx", "A 2445-2025")</f>
        <v/>
      </c>
      <c r="AC62">
        <f>HYPERLINK("https://klasma.github.io/Logging_1882/tillsyn/A 2445-2025 tillsynsbegäran.docx", "A 2445-2025")</f>
        <v/>
      </c>
      <c r="AD62">
        <f>HYPERLINK("https://klasma.github.io/Logging_1882/tillsynsmail/A 2445-2025 tillsynsbegäran mail.docx", "A 2445-2025")</f>
        <v/>
      </c>
    </row>
    <row r="63" ht="15" customHeight="1">
      <c r="A63" t="inlineStr">
        <is>
          <t>A 38601-2024</t>
        </is>
      </c>
      <c r="B63" t="inlineStr">
        <is>
          <t>avverkningsanmälan</t>
        </is>
      </c>
      <c r="C63" t="inlineStr">
        <is>
          <t>Föryngringsavverkning</t>
        </is>
      </c>
      <c r="D63" s="1" t="n">
        <v>45546</v>
      </c>
      <c r="E63" s="1" t="n">
        <v>46326</v>
      </c>
      <c r="F63" t="inlineStr">
        <is>
          <t>ÖREBRO LÄN</t>
        </is>
      </c>
      <c r="G63" t="inlineStr">
        <is>
          <t>ASKERSUND</t>
        </is>
      </c>
      <c r="H63" t="inlineStr">
        <is>
          <t>Sveaskog</t>
        </is>
      </c>
      <c r="I63" t="n">
        <v>1.5</v>
      </c>
      <c r="J63" t="n">
        <v>0</v>
      </c>
      <c r="K63" t="n">
        <v>0</v>
      </c>
      <c r="L63" t="n">
        <v>1</v>
      </c>
      <c r="M63" t="n">
        <v>0</v>
      </c>
      <c r="N63" t="n">
        <v>0</v>
      </c>
      <c r="O63" t="n">
        <v>0</v>
      </c>
      <c r="P63" t="n">
        <v>0</v>
      </c>
      <c r="Q63" t="n">
        <v>1</v>
      </c>
      <c r="R63" t="n">
        <v>0</v>
      </c>
      <c r="S63" t="n">
        <v>1</v>
      </c>
      <c r="T63" t="n">
        <v>1</v>
      </c>
      <c r="U63" t="n">
        <v>1</v>
      </c>
      <c r="V63" s="2" t="inlineStr">
        <is>
          <t>Luddfingersvamp</t>
        </is>
      </c>
      <c r="W63">
        <f>HYPERLINK("https://klasma.github.io/Logging_1882/artfynd/A 38601-2024 artfynd.xlsx", "A 38601-2024")</f>
        <v/>
      </c>
      <c r="X63">
        <f>HYPERLINK("https://klasma.github.io/Logging_1882/kartor/A 38601-2024 karta.png", "A 38601-2024")</f>
        <v/>
      </c>
      <c r="Y63">
        <f>HYPERLINK("https://klasma.github.io/Logging_1882/kartor_geotiff/A 38601-2024 georefererad karta.tif", "A 38601-2024")</f>
        <v/>
      </c>
      <c r="AA63">
        <f>HYPERLINK("https://klasma.github.io/Logging_1882/klagomål/A 38601-2024 FSC-klagomål.docx", "A 38601-2024")</f>
        <v/>
      </c>
      <c r="AB63">
        <f>HYPERLINK("https://klasma.github.io/Logging_1882/klagomålsmail/A 38601-2024 FSC-klagomål mail.docx", "A 38601-2024")</f>
        <v/>
      </c>
      <c r="AC63">
        <f>HYPERLINK("https://klasma.github.io/Logging_1882/tillsyn/A 38601-2024 tillsynsbegäran.docx", "A 38601-2024")</f>
        <v/>
      </c>
      <c r="AD63">
        <f>HYPERLINK("https://klasma.github.io/Logging_1882/tillsynsmail/A 38601-2024 tillsynsbegäran mail.docx", "A 38601-2024")</f>
        <v/>
      </c>
    </row>
    <row r="64" ht="15" customHeight="1">
      <c r="A64" t="inlineStr">
        <is>
          <t>A 2295-2023</t>
        </is>
      </c>
      <c r="B64" t="inlineStr">
        <is>
          <t>avverkningsanmälan</t>
        </is>
      </c>
      <c r="C64" t="inlineStr">
        <is>
          <t>Föryngringsavverkning</t>
        </is>
      </c>
      <c r="D64" s="1" t="n">
        <v>44942</v>
      </c>
      <c r="E64" s="1" t="n">
        <v>46326</v>
      </c>
      <c r="F64" t="inlineStr">
        <is>
          <t>ÖREBRO LÄN</t>
        </is>
      </c>
      <c r="G64" t="inlineStr">
        <is>
          <t>ASKERSUND</t>
        </is>
      </c>
      <c r="I64" t="n">
        <v>2.2</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HYPERLINK("https://klasma.github.io/Logging_1882/artfynd/A 2295-2023 artfynd.xlsx", "A 2295-2023")</f>
        <v/>
      </c>
      <c r="X64">
        <f>HYPERLINK("https://klasma.github.io/Logging_1882/kartor/A 2295-2023 karta.png", "A 2295-2023")</f>
        <v/>
      </c>
      <c r="Y64">
        <f>HYPERLINK("https://klasma.github.io/Logging_1882/kartor_geotiff/A 2295-2023 georefererad karta.tif", "A 2295-2023")</f>
        <v/>
      </c>
      <c r="AA64">
        <f>HYPERLINK("https://klasma.github.io/Logging_1882/klagomål/A 2295-2023 FSC-klagomål.docx", "A 2295-2023")</f>
        <v/>
      </c>
      <c r="AB64">
        <f>HYPERLINK("https://klasma.github.io/Logging_1882/klagomålsmail/A 2295-2023 FSC-klagomål mail.docx", "A 2295-2023")</f>
        <v/>
      </c>
      <c r="AC64">
        <f>HYPERLINK("https://klasma.github.io/Logging_1882/tillsyn/A 2295-2023 tillsynsbegäran.docx", "A 2295-2023")</f>
        <v/>
      </c>
      <c r="AD64">
        <f>HYPERLINK("https://klasma.github.io/Logging_1882/tillsynsmail/A 2295-2023 tillsynsbegäran mail.docx", "A 2295-2023")</f>
        <v/>
      </c>
      <c r="AE64">
        <f>HYPERLINK("https://klasma.github.io/Logging_1882/fåglar/A 2295-2023 prioriterade fågelarter.docx", "A 2295-2023")</f>
        <v/>
      </c>
    </row>
    <row r="65" ht="15" customHeight="1">
      <c r="A65" t="inlineStr">
        <is>
          <t>A 32037-2024</t>
        </is>
      </c>
      <c r="B65" t="inlineStr">
        <is>
          <t>avverkningsanmälan</t>
        </is>
      </c>
      <c r="C65" t="inlineStr">
        <is>
          <t>Föryngringsavverkning</t>
        </is>
      </c>
      <c r="D65" s="1" t="n">
        <v>45510</v>
      </c>
      <c r="E65" s="1" t="n">
        <v>46326</v>
      </c>
      <c r="F65" t="inlineStr">
        <is>
          <t>ÖREBRO LÄN</t>
        </is>
      </c>
      <c r="G65" t="inlineStr">
        <is>
          <t>ASKERSUND</t>
        </is>
      </c>
      <c r="I65" t="n">
        <v>8.199999999999999</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HYPERLINK("https://klasma.github.io/Logging_1882/artfynd/A 32037-2024 artfynd.xlsx", "A 32037-2024")</f>
        <v/>
      </c>
      <c r="X65">
        <f>HYPERLINK("https://klasma.github.io/Logging_1882/kartor/A 32037-2024 karta.png", "A 32037-2024")</f>
        <v/>
      </c>
      <c r="Y65">
        <f>HYPERLINK("https://klasma.github.io/Logging_1882/kartor_geotiff/A 32037-2024 georefererad karta.tif", "A 32037-2024")</f>
        <v/>
      </c>
      <c r="AA65">
        <f>HYPERLINK("https://klasma.github.io/Logging_1882/klagomål/A 32037-2024 FSC-klagomål.docx", "A 32037-2024")</f>
        <v/>
      </c>
      <c r="AB65">
        <f>HYPERLINK("https://klasma.github.io/Logging_1882/klagomålsmail/A 32037-2024 FSC-klagomål mail.docx", "A 32037-2024")</f>
        <v/>
      </c>
      <c r="AC65">
        <f>HYPERLINK("https://klasma.github.io/Logging_1882/tillsyn/A 32037-2024 tillsynsbegäran.docx", "A 32037-2024")</f>
        <v/>
      </c>
      <c r="AD65">
        <f>HYPERLINK("https://klasma.github.io/Logging_1882/tillsynsmail/A 32037-2024 tillsynsbegäran mail.docx", "A 32037-2024")</f>
        <v/>
      </c>
    </row>
    <row r="66" ht="15" customHeight="1">
      <c r="A66" t="inlineStr">
        <is>
          <t>A 11988-2026</t>
        </is>
      </c>
      <c r="B66" t="inlineStr">
        <is>
          <t>avverkningsanmälan</t>
        </is>
      </c>
      <c r="C66" t="inlineStr">
        <is>
          <t>Avverkning för annat ändamål</t>
        </is>
      </c>
      <c r="D66" s="1" t="n">
        <v>46085</v>
      </c>
      <c r="E66" s="1" t="n">
        <v>46326</v>
      </c>
      <c r="F66" t="inlineStr">
        <is>
          <t>ÖREBRO LÄN</t>
        </is>
      </c>
      <c r="G66" t="inlineStr">
        <is>
          <t>ASKERSUND</t>
        </is>
      </c>
      <c r="I66" t="n">
        <v>1</v>
      </c>
      <c r="J66" t="n">
        <v>0</v>
      </c>
      <c r="K66" t="n">
        <v>1</v>
      </c>
      <c r="L66" t="n">
        <v>0</v>
      </c>
      <c r="M66" t="n">
        <v>0</v>
      </c>
      <c r="N66" t="n">
        <v>0</v>
      </c>
      <c r="O66" t="n">
        <v>0</v>
      </c>
      <c r="P66" t="n">
        <v>0</v>
      </c>
      <c r="Q66" t="n">
        <v>0</v>
      </c>
      <c r="R66" t="n">
        <v>0</v>
      </c>
      <c r="S66" t="n">
        <v>1</v>
      </c>
      <c r="T66" t="n">
        <v>1</v>
      </c>
      <c r="U66" t="n">
        <v>1</v>
      </c>
      <c r="V66" s="2" t="inlineStr">
        <is>
          <t>Björksplintborre</t>
        </is>
      </c>
      <c r="W66">
        <f>HYPERLINK("https://klasma.github.io/Logging_1882/artfynd/A 11988-2026 artfynd.xlsx", "A 11988-2026")</f>
        <v/>
      </c>
      <c r="X66">
        <f>HYPERLINK("https://klasma.github.io/Logging_1882/kartor/A 11988-2026 karta.png", "A 11988-2026")</f>
        <v/>
      </c>
      <c r="Y66">
        <f>HYPERLINK("https://klasma.github.io/Logging_1882/kartor_geotiff/A 11988-2026 georefererad karta.tif", "A 11988-2026")</f>
        <v/>
      </c>
      <c r="AA66">
        <f>HYPERLINK("https://klasma.github.io/Logging_1882/klagomål/A 11988-2026 FSC-klagomål.docx", "A 11988-2026")</f>
        <v/>
      </c>
      <c r="AB66">
        <f>HYPERLINK("https://klasma.github.io/Logging_1882/klagomålsmail/A 11988-2026 FSC-klagomål mail.docx", "A 11988-2026")</f>
        <v/>
      </c>
      <c r="AC66">
        <f>HYPERLINK("https://klasma.github.io/Logging_1882/tillsyn/A 11988-2026 tillsynsbegäran.docx", "A 11988-2026")</f>
        <v/>
      </c>
      <c r="AD66">
        <f>HYPERLINK("https://klasma.github.io/Logging_1882/tillsynsmail/A 11988-2026 tillsynsbegäran mail.docx", "A 11988-2026")</f>
        <v/>
      </c>
    </row>
    <row r="67" ht="15" customHeight="1">
      <c r="A67" t="inlineStr">
        <is>
          <t>A 34514-2024</t>
        </is>
      </c>
      <c r="B67" t="inlineStr">
        <is>
          <t>avverkningsanmälan</t>
        </is>
      </c>
      <c r="C67" t="inlineStr">
        <is>
          <t>Avverkning för att bevara och utveckla /försöksver</t>
        </is>
      </c>
      <c r="D67" s="1" t="n">
        <v>45525</v>
      </c>
      <c r="E67" s="1" t="n">
        <v>46326</v>
      </c>
      <c r="F67" t="inlineStr">
        <is>
          <t>ÖREBRO LÄN</t>
        </is>
      </c>
      <c r="G67" t="inlineStr">
        <is>
          <t>ASKERSUND</t>
        </is>
      </c>
      <c r="H67" t="inlineStr">
        <is>
          <t>Sveaskog</t>
        </is>
      </c>
      <c r="I67" t="n">
        <v>0.5</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HYPERLINK("https://klasma.github.io/Logging_1882/artfynd/A 34514-2024 artfynd.xlsx", "A 34514-2024")</f>
        <v/>
      </c>
      <c r="X67">
        <f>HYPERLINK("https://klasma.github.io/Logging_1882/kartor/A 34514-2024 karta.png", "A 34514-2024")</f>
        <v/>
      </c>
      <c r="Y67">
        <f>HYPERLINK("https://klasma.github.io/Logging_1882/kartor_geotiff/A 34514-2024 georefererad karta.tif", "A 34514-2024")</f>
        <v/>
      </c>
      <c r="AA67">
        <f>HYPERLINK("https://klasma.github.io/Logging_1882/klagomål/A 34514-2024 FSC-klagomål.docx", "A 34514-2024")</f>
        <v/>
      </c>
      <c r="AB67">
        <f>HYPERLINK("https://klasma.github.io/Logging_1882/klagomålsmail/A 34514-2024 FSC-klagomål mail.docx", "A 34514-2024")</f>
        <v/>
      </c>
      <c r="AC67">
        <f>HYPERLINK("https://klasma.github.io/Logging_1882/tillsyn/A 34514-2024 tillsynsbegäran.docx", "A 34514-2024")</f>
        <v/>
      </c>
      <c r="AD67">
        <f>HYPERLINK("https://klasma.github.io/Logging_1882/tillsynsmail/A 34514-2024 tillsynsbegäran mail.docx", "A 34514-2024")</f>
        <v/>
      </c>
    </row>
    <row r="68" ht="15" customHeight="1">
      <c r="A68" t="inlineStr">
        <is>
          <t>A 2561-2024</t>
        </is>
      </c>
      <c r="B68" t="inlineStr">
        <is>
          <t>avverkningsanmälan</t>
        </is>
      </c>
      <c r="C68" t="inlineStr">
        <is>
          <t>Föryngringsavverkning</t>
        </is>
      </c>
      <c r="D68" s="1" t="n">
        <v>45313</v>
      </c>
      <c r="E68" s="1" t="n">
        <v>46326</v>
      </c>
      <c r="F68" t="inlineStr">
        <is>
          <t>ÖREBRO LÄN</t>
        </is>
      </c>
      <c r="G68" t="inlineStr">
        <is>
          <t>ASKERSUND</t>
        </is>
      </c>
      <c r="I68" t="n">
        <v>5.4</v>
      </c>
      <c r="J68" t="n">
        <v>0</v>
      </c>
      <c r="K68" t="n">
        <v>0</v>
      </c>
      <c r="L68" t="n">
        <v>0</v>
      </c>
      <c r="M68" t="n">
        <v>1</v>
      </c>
      <c r="N68" t="n">
        <v>0</v>
      </c>
      <c r="O68" t="n">
        <v>0</v>
      </c>
      <c r="P68" t="n">
        <v>0</v>
      </c>
      <c r="Q68" t="n">
        <v>1</v>
      </c>
      <c r="R68" t="n">
        <v>1</v>
      </c>
      <c r="S68" t="n">
        <v>1</v>
      </c>
      <c r="T68" t="n">
        <v>1</v>
      </c>
      <c r="U68" t="n">
        <v>1</v>
      </c>
      <c r="V68" s="2" t="inlineStr">
        <is>
          <t>Slåttergubbe</t>
        </is>
      </c>
      <c r="W68">
        <f>HYPERLINK("https://klasma.github.io/Logging_1882/artfynd/A 2561-2024 artfynd.xlsx", "A 2561-2024")</f>
        <v/>
      </c>
      <c r="X68">
        <f>HYPERLINK("https://klasma.github.io/Logging_1882/kartor/A 2561-2024 karta.png", "A 2561-2024")</f>
        <v/>
      </c>
      <c r="Y68">
        <f>HYPERLINK("https://klasma.github.io/Logging_1882/kartor_geotiff/A 2561-2024 georefererad karta.tif", "A 2561-2024")</f>
        <v/>
      </c>
      <c r="AA68">
        <f>HYPERLINK("https://klasma.github.io/Logging_1882/klagomål/A 2561-2024 FSC-klagomål.docx", "A 2561-2024")</f>
        <v/>
      </c>
      <c r="AB68">
        <f>HYPERLINK("https://klasma.github.io/Logging_1882/klagomålsmail/A 2561-2024 FSC-klagomål mail.docx", "A 2561-2024")</f>
        <v/>
      </c>
      <c r="AC68">
        <f>HYPERLINK("https://klasma.github.io/Logging_1882/tillsyn/A 2561-2024 tillsynsbegäran.docx", "A 2561-2024")</f>
        <v/>
      </c>
      <c r="AD68">
        <f>HYPERLINK("https://klasma.github.io/Logging_1882/tillsynsmail/A 2561-2024 tillsynsbegäran mail.docx", "A 2561-2024")</f>
        <v/>
      </c>
    </row>
    <row r="69" ht="15" customHeight="1">
      <c r="A69" t="inlineStr">
        <is>
          <t>A 57427-2024</t>
        </is>
      </c>
      <c r="B69" t="inlineStr">
        <is>
          <t>avverkningsanmälan</t>
        </is>
      </c>
      <c r="C69" t="inlineStr">
        <is>
          <t>Föryngringsavverkning</t>
        </is>
      </c>
      <c r="D69" s="1" t="n">
        <v>45629</v>
      </c>
      <c r="E69" s="1" t="n">
        <v>46326</v>
      </c>
      <c r="F69" t="inlineStr">
        <is>
          <t>ÖREBRO LÄN</t>
        </is>
      </c>
      <c r="G69" t="inlineStr">
        <is>
          <t>ASKERSUND</t>
        </is>
      </c>
      <c r="I69" t="n">
        <v>3.3</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HYPERLINK("https://klasma.github.io/Logging_1882/artfynd/A 57427-2024 artfynd.xlsx", "A 57427-2024")</f>
        <v/>
      </c>
      <c r="X69">
        <f>HYPERLINK("https://klasma.github.io/Logging_1882/kartor/A 57427-2024 karta.png", "A 57427-2024")</f>
        <v/>
      </c>
      <c r="Y69">
        <f>HYPERLINK("https://klasma.github.io/Logging_1882/kartor_geotiff/A 57427-2024 georefererad karta.tif", "A 57427-2024")</f>
        <v/>
      </c>
      <c r="AA69">
        <f>HYPERLINK("https://klasma.github.io/Logging_1882/klagomål/A 57427-2024 FSC-klagomål.docx", "A 57427-2024")</f>
        <v/>
      </c>
      <c r="AB69">
        <f>HYPERLINK("https://klasma.github.io/Logging_1882/klagomålsmail/A 57427-2024 FSC-klagomål mail.docx", "A 57427-2024")</f>
        <v/>
      </c>
      <c r="AC69">
        <f>HYPERLINK("https://klasma.github.io/Logging_1882/tillsyn/A 57427-2024 tillsynsbegäran.docx", "A 57427-2024")</f>
        <v/>
      </c>
      <c r="AD69">
        <f>HYPERLINK("https://klasma.github.io/Logging_1882/tillsynsmail/A 57427-2024 tillsynsbegäran mail.docx", "A 57427-2024")</f>
        <v/>
      </c>
    </row>
    <row r="70" ht="15" customHeight="1">
      <c r="A70" t="inlineStr">
        <is>
          <t>A 28786-2023</t>
        </is>
      </c>
      <c r="B70" t="inlineStr">
        <is>
          <t>avverkningsanmälan</t>
        </is>
      </c>
      <c r="C70" t="inlineStr">
        <is>
          <t>Avverkning för annat ändamål</t>
        </is>
      </c>
      <c r="D70" s="1" t="n">
        <v>45104</v>
      </c>
      <c r="E70" s="1" t="n">
        <v>46326</v>
      </c>
      <c r="F70" t="inlineStr">
        <is>
          <t>ÖREBRO LÄN</t>
        </is>
      </c>
      <c r="G70" t="inlineStr">
        <is>
          <t>ASKERSUND</t>
        </is>
      </c>
      <c r="I70" t="n">
        <v>9.800000000000001</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HYPERLINK("https://klasma.github.io/Logging_1882/artfynd/A 28786-2023 artfynd.xlsx", "A 28786-2023")</f>
        <v/>
      </c>
      <c r="X70">
        <f>HYPERLINK("https://klasma.github.io/Logging_1882/kartor/A 28786-2023 karta.png", "A 28786-2023")</f>
        <v/>
      </c>
      <c r="Y70">
        <f>HYPERLINK("https://klasma.github.io/Logging_1882/kartor_geotiff/A 28786-2023 georefererad karta.tif", "A 28786-2023")</f>
        <v/>
      </c>
      <c r="AA70">
        <f>HYPERLINK("https://klasma.github.io/Logging_1882/klagomål/A 28786-2023 FSC-klagomål.docx", "A 28786-2023")</f>
        <v/>
      </c>
      <c r="AB70">
        <f>HYPERLINK("https://klasma.github.io/Logging_1882/klagomålsmail/A 28786-2023 FSC-klagomål mail.docx", "A 28786-2023")</f>
        <v/>
      </c>
      <c r="AC70">
        <f>HYPERLINK("https://klasma.github.io/Logging_1882/tillsyn/A 28786-2023 tillsynsbegäran.docx", "A 28786-2023")</f>
        <v/>
      </c>
      <c r="AD70">
        <f>HYPERLINK("https://klasma.github.io/Logging_1882/tillsynsmail/A 28786-2023 tillsynsbegäran mail.docx", "A 28786-2023")</f>
        <v/>
      </c>
    </row>
    <row r="71" ht="15" customHeight="1">
      <c r="A71" t="inlineStr">
        <is>
          <t>A 44891-2024</t>
        </is>
      </c>
      <c r="B71" t="inlineStr">
        <is>
          <t>avverkningsanmälan</t>
        </is>
      </c>
      <c r="C71" t="inlineStr">
        <is>
          <t>Avverkning för att bevara och utveckla /försöksver</t>
        </is>
      </c>
      <c r="D71" s="1" t="n">
        <v>45575</v>
      </c>
      <c r="E71" s="1" t="n">
        <v>46326</v>
      </c>
      <c r="F71" t="inlineStr">
        <is>
          <t>ÖREBRO LÄN</t>
        </is>
      </c>
      <c r="G71" t="inlineStr">
        <is>
          <t>ASKERSUND</t>
        </is>
      </c>
      <c r="H71" t="inlineStr">
        <is>
          <t>Sveaskog</t>
        </is>
      </c>
      <c r="I71" t="n">
        <v>1.4</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HYPERLINK("https://klasma.github.io/Logging_1882/artfynd/A 44891-2024 artfynd.xlsx", "A 44891-2024")</f>
        <v/>
      </c>
      <c r="X71">
        <f>HYPERLINK("https://klasma.github.io/Logging_1882/kartor/A 44891-2024 karta.png", "A 44891-2024")</f>
        <v/>
      </c>
      <c r="Y71">
        <f>HYPERLINK("https://klasma.github.io/Logging_1882/kartor_geotiff/A 44891-2024 georefererad karta.tif", "A 44891-2024")</f>
        <v/>
      </c>
      <c r="AA71">
        <f>HYPERLINK("https://klasma.github.io/Logging_1882/klagomål/A 44891-2024 FSC-klagomål.docx", "A 44891-2024")</f>
        <v/>
      </c>
      <c r="AB71">
        <f>HYPERLINK("https://klasma.github.io/Logging_1882/klagomålsmail/A 44891-2024 FSC-klagomål mail.docx", "A 44891-2024")</f>
        <v/>
      </c>
      <c r="AC71">
        <f>HYPERLINK("https://klasma.github.io/Logging_1882/tillsyn/A 44891-2024 tillsynsbegäran.docx", "A 44891-2024")</f>
        <v/>
      </c>
      <c r="AD71">
        <f>HYPERLINK("https://klasma.github.io/Logging_1882/tillsynsmail/A 44891-2024 tillsynsbegäran mail.docx", "A 44891-2024")</f>
        <v/>
      </c>
    </row>
    <row r="72" ht="15" customHeight="1">
      <c r="A72" t="inlineStr">
        <is>
          <t>A 16953-2022</t>
        </is>
      </c>
      <c r="B72" t="inlineStr">
        <is>
          <t>avverkningsanmälan</t>
        </is>
      </c>
      <c r="C72" t="inlineStr">
        <is>
          <t>Föryngringsavverkning</t>
        </is>
      </c>
      <c r="D72" s="1" t="n">
        <v>44676</v>
      </c>
      <c r="E72" s="1" t="n">
        <v>46326</v>
      </c>
      <c r="F72" t="inlineStr">
        <is>
          <t>ÖREBRO LÄN</t>
        </is>
      </c>
      <c r="G72" t="inlineStr">
        <is>
          <t>ASKERSUND</t>
        </is>
      </c>
      <c r="I72" t="n">
        <v>3.1</v>
      </c>
      <c r="J72" t="n">
        <v>1</v>
      </c>
      <c r="K72" t="n">
        <v>0</v>
      </c>
      <c r="L72" t="n">
        <v>1</v>
      </c>
      <c r="M72" t="n">
        <v>0</v>
      </c>
      <c r="N72" t="n">
        <v>0</v>
      </c>
      <c r="O72" t="n">
        <v>0</v>
      </c>
      <c r="P72" t="n">
        <v>0</v>
      </c>
      <c r="Q72" t="n">
        <v>1</v>
      </c>
      <c r="R72" t="n">
        <v>0</v>
      </c>
      <c r="S72" t="n">
        <v>1</v>
      </c>
      <c r="T72" t="n">
        <v>1</v>
      </c>
      <c r="U72" t="n">
        <v>1</v>
      </c>
      <c r="V72" s="2" t="inlineStr">
        <is>
          <t>Talltita</t>
        </is>
      </c>
      <c r="W72">
        <f>HYPERLINK("https://klasma.github.io/Logging_1882/artfynd/A 16953-2022 artfynd.xlsx", "A 16953-2022")</f>
        <v/>
      </c>
      <c r="X72">
        <f>HYPERLINK("https://klasma.github.io/Logging_1882/kartor/A 16953-2022 karta.png", "A 16953-2022")</f>
        <v/>
      </c>
      <c r="Y72">
        <f>HYPERLINK("https://klasma.github.io/Logging_1882/kartor_geotiff/A 16953-2022 georefererad karta.tif", "A 16953-2022")</f>
        <v/>
      </c>
      <c r="AA72">
        <f>HYPERLINK("https://klasma.github.io/Logging_1882/klagomål/A 16953-2022 FSC-klagomål.docx", "A 16953-2022")</f>
        <v/>
      </c>
      <c r="AB72">
        <f>HYPERLINK("https://klasma.github.io/Logging_1882/klagomålsmail/A 16953-2022 FSC-klagomål mail.docx", "A 16953-2022")</f>
        <v/>
      </c>
      <c r="AC72">
        <f>HYPERLINK("https://klasma.github.io/Logging_1882/tillsyn/A 16953-2022 tillsynsbegäran.docx", "A 16953-2022")</f>
        <v/>
      </c>
      <c r="AD72">
        <f>HYPERLINK("https://klasma.github.io/Logging_1882/tillsynsmail/A 16953-2022 tillsynsbegäran mail.docx", "A 16953-2022")</f>
        <v/>
      </c>
      <c r="AE72">
        <f>HYPERLINK("https://klasma.github.io/Logging_1882/fåglar/A 16953-2022 prioriterade fågelarter.docx", "A 16953-2022")</f>
        <v/>
      </c>
    </row>
    <row r="73" ht="15" customHeight="1">
      <c r="A73" t="inlineStr">
        <is>
          <t>A 63535-2021</t>
        </is>
      </c>
      <c r="B73" t="inlineStr">
        <is>
          <t>avverkningsanmälan</t>
        </is>
      </c>
      <c r="C73" t="inlineStr">
        <is>
          <t>Föryngringsavverkning</t>
        </is>
      </c>
      <c r="D73" s="1" t="n">
        <v>44508</v>
      </c>
      <c r="E73" s="1" t="n">
        <v>46326</v>
      </c>
      <c r="F73" t="inlineStr">
        <is>
          <t>ÖREBRO LÄN</t>
        </is>
      </c>
      <c r="G73" t="inlineStr">
        <is>
          <t>ASKERSUND</t>
        </is>
      </c>
      <c r="I73" t="n">
        <v>0.8</v>
      </c>
      <c r="J73" t="n">
        <v>0</v>
      </c>
      <c r="K73" t="n">
        <v>0</v>
      </c>
      <c r="L73" t="n">
        <v>1</v>
      </c>
      <c r="M73" t="n">
        <v>0</v>
      </c>
      <c r="N73" t="n">
        <v>0</v>
      </c>
      <c r="O73" t="n">
        <v>0</v>
      </c>
      <c r="P73" t="n">
        <v>0</v>
      </c>
      <c r="Q73" t="n">
        <v>1</v>
      </c>
      <c r="R73" t="n">
        <v>0</v>
      </c>
      <c r="S73" t="n">
        <v>1</v>
      </c>
      <c r="T73" t="n">
        <v>1</v>
      </c>
      <c r="U73" t="n">
        <v>1</v>
      </c>
      <c r="V73" s="2" t="inlineStr">
        <is>
          <t>Humlerotfjäril</t>
        </is>
      </c>
      <c r="W73">
        <f>HYPERLINK("https://klasma.github.io/Logging_1882/artfynd/A 63535-2021 artfynd.xlsx", "A 63535-2021")</f>
        <v/>
      </c>
      <c r="X73">
        <f>HYPERLINK("https://klasma.github.io/Logging_1882/kartor/A 63535-2021 karta.png", "A 63535-2021")</f>
        <v/>
      </c>
      <c r="Y73">
        <f>HYPERLINK("https://klasma.github.io/Logging_1882/kartor_geotiff/A 63535-2021 georefererad karta.tif", "A 63535-2021")</f>
        <v/>
      </c>
      <c r="AA73">
        <f>HYPERLINK("https://klasma.github.io/Logging_1882/klagomål/A 63535-2021 FSC-klagomål.docx", "A 63535-2021")</f>
        <v/>
      </c>
      <c r="AB73">
        <f>HYPERLINK("https://klasma.github.io/Logging_1882/klagomålsmail/A 63535-2021 FSC-klagomål mail.docx", "A 63535-2021")</f>
        <v/>
      </c>
      <c r="AC73">
        <f>HYPERLINK("https://klasma.github.io/Logging_1882/tillsyn/A 63535-2021 tillsynsbegäran.docx", "A 63535-2021")</f>
        <v/>
      </c>
      <c r="AD73">
        <f>HYPERLINK("https://klasma.github.io/Logging_1882/tillsynsmail/A 63535-2021 tillsynsbegäran mail.docx", "A 63535-2021")</f>
        <v/>
      </c>
    </row>
    <row r="74" ht="15" customHeight="1">
      <c r="A74" t="inlineStr">
        <is>
          <t>A 48879-2022</t>
        </is>
      </c>
      <c r="B74" t="inlineStr">
        <is>
          <t>avverkningsanmälan</t>
        </is>
      </c>
      <c r="C74" t="inlineStr">
        <is>
          <t>Föryngringsavverkning</t>
        </is>
      </c>
      <c r="D74" s="1" t="n">
        <v>44859</v>
      </c>
      <c r="E74" s="1" t="n">
        <v>46326</v>
      </c>
      <c r="F74" t="inlineStr">
        <is>
          <t>ÖREBRO LÄN</t>
        </is>
      </c>
      <c r="G74" t="inlineStr">
        <is>
          <t>ASKERSUND</t>
        </is>
      </c>
      <c r="I74" t="n">
        <v>8.199999999999999</v>
      </c>
      <c r="J74" t="n">
        <v>0</v>
      </c>
      <c r="K74" t="n">
        <v>0</v>
      </c>
      <c r="L74" t="n">
        <v>0</v>
      </c>
      <c r="M74" t="n">
        <v>0</v>
      </c>
      <c r="N74" t="n">
        <v>0</v>
      </c>
      <c r="O74" t="n">
        <v>0</v>
      </c>
      <c r="P74" t="n">
        <v>0</v>
      </c>
      <c r="Q74" t="n">
        <v>0</v>
      </c>
      <c r="R74" t="n">
        <v>0</v>
      </c>
      <c r="S74" t="n">
        <v>1</v>
      </c>
      <c r="T74" t="n">
        <v>1</v>
      </c>
      <c r="U74" t="n">
        <v>1</v>
      </c>
      <c r="V74" s="2" t="inlineStr">
        <is>
          <t>Kattfot</t>
        </is>
      </c>
      <c r="W74">
        <f>HYPERLINK("https://klasma.github.io/Logging_1882/artfynd/A 48879-2022 artfynd.xlsx", "A 48879-2022")</f>
        <v/>
      </c>
      <c r="X74">
        <f>HYPERLINK("https://klasma.github.io/Logging_1882/kartor/A 48879-2022 karta.png", "A 48879-2022")</f>
        <v/>
      </c>
      <c r="Y74">
        <f>HYPERLINK("https://klasma.github.io/Logging_1882/kartor_geotiff/A 48879-2022 georefererad karta.tif", "A 48879-2022")</f>
        <v/>
      </c>
      <c r="AA74">
        <f>HYPERLINK("https://klasma.github.io/Logging_1882/klagomål/A 48879-2022 FSC-klagomål.docx", "A 48879-2022")</f>
        <v/>
      </c>
      <c r="AB74">
        <f>HYPERLINK("https://klasma.github.io/Logging_1882/klagomålsmail/A 48879-2022 FSC-klagomål mail.docx", "A 48879-2022")</f>
        <v/>
      </c>
      <c r="AC74">
        <f>HYPERLINK("https://klasma.github.io/Logging_1882/tillsyn/A 48879-2022 tillsynsbegäran.docx", "A 48879-2022")</f>
        <v/>
      </c>
      <c r="AD74">
        <f>HYPERLINK("https://klasma.github.io/Logging_1882/tillsynsmail/A 48879-2022 tillsynsbegäran mail.docx", "A 48879-2022")</f>
        <v/>
      </c>
    </row>
    <row r="75" ht="15" customHeight="1">
      <c r="A75" t="inlineStr">
        <is>
          <t>A 22511-2024</t>
        </is>
      </c>
      <c r="B75" t="inlineStr">
        <is>
          <t>avverkningsanmälan</t>
        </is>
      </c>
      <c r="C75" t="inlineStr">
        <is>
          <t>Föryngringsavverkning</t>
        </is>
      </c>
      <c r="D75" s="1" t="n">
        <v>45447</v>
      </c>
      <c r="E75" s="1" t="n">
        <v>46326</v>
      </c>
      <c r="F75" t="inlineStr">
        <is>
          <t>ÖREBRO LÄN</t>
        </is>
      </c>
      <c r="G75" t="inlineStr">
        <is>
          <t>ASKERSUND</t>
        </is>
      </c>
      <c r="I75" t="n">
        <v>1</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HYPERLINK("https://klasma.github.io/Logging_1882/artfynd/A 22511-2024 artfynd.xlsx", "A 22511-2024")</f>
        <v/>
      </c>
      <c r="X75">
        <f>HYPERLINK("https://klasma.github.io/Logging_1882/kartor/A 22511-2024 karta.png", "A 22511-2024")</f>
        <v/>
      </c>
      <c r="Y75">
        <f>HYPERLINK("https://klasma.github.io/Logging_1882/kartor_geotiff/A 22511-2024 georefererad karta.tif", "A 22511-2024")</f>
        <v/>
      </c>
      <c r="AA75">
        <f>HYPERLINK("https://klasma.github.io/Logging_1882/klagomål/A 22511-2024 FSC-klagomål.docx", "A 22511-2024")</f>
        <v/>
      </c>
      <c r="AB75">
        <f>HYPERLINK("https://klasma.github.io/Logging_1882/klagomålsmail/A 22511-2024 FSC-klagomål mail.docx", "A 22511-2024")</f>
        <v/>
      </c>
      <c r="AC75">
        <f>HYPERLINK("https://klasma.github.io/Logging_1882/tillsyn/A 22511-2024 tillsynsbegäran.docx", "A 22511-2024")</f>
        <v/>
      </c>
      <c r="AD75">
        <f>HYPERLINK("https://klasma.github.io/Logging_1882/tillsynsmail/A 22511-2024 tillsynsbegäran mail.docx", "A 22511-2024")</f>
        <v/>
      </c>
    </row>
    <row r="76" ht="15" customHeight="1">
      <c r="A76" t="inlineStr">
        <is>
          <t>A 31265-2024</t>
        </is>
      </c>
      <c r="B76" t="inlineStr">
        <is>
          <t>avverkningsanmälan</t>
        </is>
      </c>
      <c r="C76" t="inlineStr">
        <is>
          <t>Föryngringsavverkning</t>
        </is>
      </c>
      <c r="D76" s="1" t="n">
        <v>45503</v>
      </c>
      <c r="E76" s="1" t="n">
        <v>46326</v>
      </c>
      <c r="F76" t="inlineStr">
        <is>
          <t>ÖREBRO LÄN</t>
        </is>
      </c>
      <c r="G76" t="inlineStr">
        <is>
          <t>ASKERSUND</t>
        </is>
      </c>
      <c r="I76" t="n">
        <v>15.5</v>
      </c>
      <c r="J76" t="n">
        <v>1</v>
      </c>
      <c r="K76" t="n">
        <v>0</v>
      </c>
      <c r="L76" t="n">
        <v>0</v>
      </c>
      <c r="M76" t="n">
        <v>0</v>
      </c>
      <c r="N76" t="n">
        <v>0</v>
      </c>
      <c r="O76" t="n">
        <v>0</v>
      </c>
      <c r="P76" t="n">
        <v>0</v>
      </c>
      <c r="Q76" t="n">
        <v>0</v>
      </c>
      <c r="R76" t="n">
        <v>0</v>
      </c>
      <c r="S76" t="n">
        <v>1</v>
      </c>
      <c r="T76" t="n">
        <v>1</v>
      </c>
      <c r="U76" t="n">
        <v>1</v>
      </c>
      <c r="V76" s="2" t="inlineStr">
        <is>
          <t>Törnskata</t>
        </is>
      </c>
      <c r="W76">
        <f>HYPERLINK("https://klasma.github.io/Logging_1882/artfynd/A 31265-2024 artfynd.xlsx", "A 31265-2024")</f>
        <v/>
      </c>
      <c r="X76">
        <f>HYPERLINK("https://klasma.github.io/Logging_1882/kartor/A 31265-2024 karta.png", "A 31265-2024")</f>
        <v/>
      </c>
      <c r="Y76">
        <f>HYPERLINK("https://klasma.github.io/Logging_1882/kartor_geotiff/A 31265-2024 georefererad karta.tif", "A 31265-2024")</f>
        <v/>
      </c>
      <c r="AA76">
        <f>HYPERLINK("https://klasma.github.io/Logging_1882/klagomål/A 31265-2024 FSC-klagomål.docx", "A 31265-2024")</f>
        <v/>
      </c>
      <c r="AB76">
        <f>HYPERLINK("https://klasma.github.io/Logging_1882/klagomålsmail/A 31265-2024 FSC-klagomål mail.docx", "A 31265-2024")</f>
        <v/>
      </c>
      <c r="AC76">
        <f>HYPERLINK("https://klasma.github.io/Logging_1882/tillsyn/A 31265-2024 tillsynsbegäran.docx", "A 31265-2024")</f>
        <v/>
      </c>
      <c r="AD76">
        <f>HYPERLINK("https://klasma.github.io/Logging_1882/tillsynsmail/A 31265-2024 tillsynsbegäran mail.docx", "A 31265-2024")</f>
        <v/>
      </c>
      <c r="AE76">
        <f>HYPERLINK("https://klasma.github.io/Logging_1882/fåglar/A 31265-2024 prioriterade fågelarter.docx", "A 31265-2024")</f>
        <v/>
      </c>
    </row>
    <row r="77" ht="15" customHeight="1">
      <c r="A77" t="inlineStr">
        <is>
          <t>A 8366-2025</t>
        </is>
      </c>
      <c r="B77" t="inlineStr">
        <is>
          <t>avverkningsanmälan</t>
        </is>
      </c>
      <c r="C77" t="inlineStr">
        <is>
          <t>Föryngringsavverkning</t>
        </is>
      </c>
      <c r="D77" s="1" t="n">
        <v>45708</v>
      </c>
      <c r="E77" s="1" t="n">
        <v>46326</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52518-2022</t>
        </is>
      </c>
      <c r="B78" t="inlineStr">
        <is>
          <t>avverkningsanmälan</t>
        </is>
      </c>
      <c r="C78" t="inlineStr">
        <is>
          <t>Föryngringsavverkning</t>
        </is>
      </c>
      <c r="D78" s="1" t="n">
        <v>44874</v>
      </c>
      <c r="E78" s="1" t="n">
        <v>46326</v>
      </c>
      <c r="F78" t="inlineStr">
        <is>
          <t>ÖREBRO LÄN</t>
        </is>
      </c>
      <c r="G78" t="inlineStr">
        <is>
          <t>ASKERSUND</t>
        </is>
      </c>
      <c r="I78" t="n">
        <v>2.6</v>
      </c>
      <c r="J78" t="n">
        <v>0</v>
      </c>
      <c r="K78" t="n">
        <v>1</v>
      </c>
      <c r="L78" t="n">
        <v>0</v>
      </c>
      <c r="M78" t="n">
        <v>0</v>
      </c>
      <c r="N78" t="n">
        <v>0</v>
      </c>
      <c r="O78" t="n">
        <v>0</v>
      </c>
      <c r="P78" t="n">
        <v>0</v>
      </c>
      <c r="Q78" t="n">
        <v>0</v>
      </c>
      <c r="R78" t="n">
        <v>0</v>
      </c>
      <c r="S78" t="n">
        <v>1</v>
      </c>
      <c r="T78" t="n">
        <v>1</v>
      </c>
      <c r="U78" t="n">
        <v>0</v>
      </c>
      <c r="V78" s="2" t="inlineStr">
        <is>
          <t>Björksplintborre</t>
        </is>
      </c>
      <c r="W78">
        <f>HYPERLINK("https://klasma.github.io/Logging_1882/artfynd/A 52518-2022 artfynd.xlsx", "A 52518-2022")</f>
        <v/>
      </c>
      <c r="X78">
        <f>HYPERLINK("https://klasma.github.io/Logging_1882/kartor/A 52518-2022 karta.png", "A 52518-2022")</f>
        <v/>
      </c>
      <c r="Y78">
        <f>HYPERLINK("https://klasma.github.io/Logging_1882/kartor_geotiff/A 52518-2022 georefererad karta.tif", "A 52518-2022")</f>
        <v/>
      </c>
      <c r="AA78">
        <f>HYPERLINK("https://klasma.github.io/Logging_1882/klagomål/A 52518-2022 FSC-klagomål.docx", "A 52518-2022")</f>
        <v/>
      </c>
      <c r="AB78">
        <f>HYPERLINK("https://klasma.github.io/Logging_1882/klagomålsmail/A 52518-2022 FSC-klagomål mail.docx", "A 52518-2022")</f>
        <v/>
      </c>
      <c r="AC78">
        <f>HYPERLINK("https://klasma.github.io/Logging_1882/tillsyn/A 52518-2022 tillsynsbegäran.docx", "A 52518-2022")</f>
        <v/>
      </c>
      <c r="AD78">
        <f>HYPERLINK("https://klasma.github.io/Logging_1882/tillsynsmail/A 52518-2022 tillsynsbegäran mail.docx", "A 52518-2022")</f>
        <v/>
      </c>
    </row>
    <row r="79" ht="15" customHeight="1">
      <c r="A79" t="inlineStr">
        <is>
          <t>A 5230-2023</t>
        </is>
      </c>
      <c r="B79" t="inlineStr">
        <is>
          <t>avverkningsanmälan</t>
        </is>
      </c>
      <c r="C79" t="inlineStr">
        <is>
          <t>Föryngringsavverkning</t>
        </is>
      </c>
      <c r="D79" s="1" t="n">
        <v>44959</v>
      </c>
      <c r="E79" s="1" t="n">
        <v>46326</v>
      </c>
      <c r="F79" t="inlineStr">
        <is>
          <t>ÖREBRO LÄN</t>
        </is>
      </c>
      <c r="G79" t="inlineStr">
        <is>
          <t>ASKERSUND</t>
        </is>
      </c>
      <c r="I79" t="n">
        <v>5.7</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HYPERLINK("https://klasma.github.io/Logging_1882/artfynd/A 5230-2023 artfynd.xlsx", "A 5230-2023")</f>
        <v/>
      </c>
      <c r="X79">
        <f>HYPERLINK("https://klasma.github.io/Logging_1882/kartor/A 5230-2023 karta.png", "A 5230-2023")</f>
        <v/>
      </c>
      <c r="Y79">
        <f>HYPERLINK("https://klasma.github.io/Logging_1882/kartor_geotiff/A 5230-2023 georefererad karta.tif", "A 5230-2023")</f>
        <v/>
      </c>
      <c r="AA79">
        <f>HYPERLINK("https://klasma.github.io/Logging_1882/klagomål/A 5230-2023 FSC-klagomål.docx", "A 5230-2023")</f>
        <v/>
      </c>
      <c r="AB79">
        <f>HYPERLINK("https://klasma.github.io/Logging_1882/klagomålsmail/A 5230-2023 FSC-klagomål mail.docx", "A 5230-2023")</f>
        <v/>
      </c>
      <c r="AC79">
        <f>HYPERLINK("https://klasma.github.io/Logging_1882/tillsyn/A 5230-2023 tillsynsbegäran.docx", "A 5230-2023")</f>
        <v/>
      </c>
      <c r="AD79">
        <f>HYPERLINK("https://klasma.github.io/Logging_1882/tillsynsmail/A 5230-2023 tillsynsbegäran mail.docx", "A 5230-2023")</f>
        <v/>
      </c>
    </row>
    <row r="80" ht="15" customHeight="1">
      <c r="A80" t="inlineStr">
        <is>
          <t>A 29127-2024</t>
        </is>
      </c>
      <c r="B80" t="inlineStr">
        <is>
          <t>avverkningsanmälan</t>
        </is>
      </c>
      <c r="C80" t="inlineStr">
        <is>
          <t>Föryngringsavverkning</t>
        </is>
      </c>
      <c r="D80" s="1" t="n">
        <v>45481</v>
      </c>
      <c r="E80" s="1" t="n">
        <v>46326</v>
      </c>
      <c r="F80" t="inlineStr">
        <is>
          <t>ÖREBRO LÄN</t>
        </is>
      </c>
      <c r="G80" t="inlineStr">
        <is>
          <t>ASKERSUND</t>
        </is>
      </c>
      <c r="I80" t="n">
        <v>9</v>
      </c>
      <c r="J80" t="n">
        <v>1</v>
      </c>
      <c r="K80" t="n">
        <v>0</v>
      </c>
      <c r="L80" t="n">
        <v>0</v>
      </c>
      <c r="M80" t="n">
        <v>0</v>
      </c>
      <c r="N80" t="n">
        <v>0</v>
      </c>
      <c r="O80" t="n">
        <v>0</v>
      </c>
      <c r="P80" t="n">
        <v>0</v>
      </c>
      <c r="Q80" t="n">
        <v>0</v>
      </c>
      <c r="R80" t="n">
        <v>0</v>
      </c>
      <c r="S80" t="n">
        <v>1</v>
      </c>
      <c r="T80" t="n">
        <v>1</v>
      </c>
      <c r="U80" t="n">
        <v>1</v>
      </c>
      <c r="V80" s="2" t="inlineStr">
        <is>
          <t>Vanlig padda</t>
        </is>
      </c>
      <c r="W80">
        <f>HYPERLINK("https://klasma.github.io/Logging_1882/artfynd/A 29127-2024 artfynd.xlsx", "A 29127-2024")</f>
        <v/>
      </c>
      <c r="X80">
        <f>HYPERLINK("https://klasma.github.io/Logging_1882/kartor/A 29127-2024 karta.png", "A 29127-2024")</f>
        <v/>
      </c>
      <c r="Y80">
        <f>HYPERLINK("https://klasma.github.io/Logging_1882/kartor_geotiff/A 29127-2024 georefererad karta.tif", "A 29127-2024")</f>
        <v/>
      </c>
      <c r="AA80">
        <f>HYPERLINK("https://klasma.github.io/Logging_1882/klagomål/A 29127-2024 FSC-klagomål.docx", "A 29127-2024")</f>
        <v/>
      </c>
      <c r="AB80">
        <f>HYPERLINK("https://klasma.github.io/Logging_1882/klagomålsmail/A 29127-2024 FSC-klagomål mail.docx", "A 29127-2024")</f>
        <v/>
      </c>
      <c r="AC80">
        <f>HYPERLINK("https://klasma.github.io/Logging_1882/tillsyn/A 29127-2024 tillsynsbegäran.docx", "A 29127-2024")</f>
        <v/>
      </c>
      <c r="AD80">
        <f>HYPERLINK("https://klasma.github.io/Logging_1882/tillsynsmail/A 29127-2024 tillsynsbegäran mail.docx", "A 29127-2024")</f>
        <v/>
      </c>
    </row>
    <row r="81" ht="15" customHeight="1">
      <c r="A81" t="inlineStr">
        <is>
          <t>A 33113-2026</t>
        </is>
      </c>
      <c r="B81" t="inlineStr">
        <is>
          <t>avverkningsanmälan</t>
        </is>
      </c>
      <c r="C81" t="inlineStr">
        <is>
          <t>Föryngringsavverkning</t>
        </is>
      </c>
      <c r="D81" s="1" t="n">
        <v>46245</v>
      </c>
      <c r="E81" s="1" t="n">
        <v>46326</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1121-2026</t>
        </is>
      </c>
      <c r="B82" t="inlineStr">
        <is>
          <t>avverkningsanmälan</t>
        </is>
      </c>
      <c r="C82" t="inlineStr">
        <is>
          <t>Föryngringsavverkning</t>
        </is>
      </c>
      <c r="D82" s="1" t="n">
        <v>46030</v>
      </c>
      <c r="E82" s="1" t="n">
        <v>46326</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A 60357-2023</t>
        </is>
      </c>
      <c r="B83" t="inlineStr">
        <is>
          <t>avverkningsanmälan</t>
        </is>
      </c>
      <c r="C83" t="inlineStr">
        <is>
          <t>Avverkning för annat ändamål</t>
        </is>
      </c>
      <c r="D83" s="1" t="n">
        <v>45258</v>
      </c>
      <c r="E83" s="1" t="n">
        <v>46326</v>
      </c>
      <c r="F83" t="inlineStr">
        <is>
          <t>ÖREBRO LÄN</t>
        </is>
      </c>
      <c r="G83" t="inlineStr">
        <is>
          <t>ASKERSUND</t>
        </is>
      </c>
      <c r="I83" t="n">
        <v>9.1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HYPERLINK("https://klasma.github.io/Logging_1882/artfynd/A 60357-2023 artfynd.xlsx", "A 60357-2023")</f>
        <v/>
      </c>
      <c r="X83">
        <f>HYPERLINK("https://klasma.github.io/Logging_1882/kartor/A 60357-2023 karta.png", "A 60357-2023")</f>
        <v/>
      </c>
      <c r="Y83">
        <f>HYPERLINK("https://klasma.github.io/Logging_1882/kartor_geotiff/A 60357-2023 georefererad karta.tif", "A 60357-2023")</f>
        <v/>
      </c>
      <c r="AA83">
        <f>HYPERLINK("https://klasma.github.io/Logging_1882/klagomål/A 60357-2023 FSC-klagomål.docx", "A 60357-2023")</f>
        <v/>
      </c>
      <c r="AB83">
        <f>HYPERLINK("https://klasma.github.io/Logging_1882/klagomålsmail/A 60357-2023 FSC-klagomål mail.docx", "A 60357-2023")</f>
        <v/>
      </c>
      <c r="AC83">
        <f>HYPERLINK("https://klasma.github.io/Logging_1882/tillsyn/A 60357-2023 tillsynsbegäran.docx", "A 60357-2023")</f>
        <v/>
      </c>
      <c r="AD83">
        <f>HYPERLINK("https://klasma.github.io/Logging_1882/tillsynsmail/A 60357-2023 tillsynsbegäran mail.docx", "A 60357-2023")</f>
        <v/>
      </c>
    </row>
    <row r="84" ht="15" customHeight="1">
      <c r="A84" t="inlineStr">
        <is>
          <t>A 7069-2024</t>
        </is>
      </c>
      <c r="B84" t="inlineStr">
        <is>
          <t>avverkningsanmälan</t>
        </is>
      </c>
      <c r="C84" t="inlineStr">
        <is>
          <t>Föryngringsavverkning</t>
        </is>
      </c>
      <c r="D84" s="1" t="n">
        <v>45343</v>
      </c>
      <c r="E84" s="1" t="n">
        <v>46326</v>
      </c>
      <c r="F84" t="inlineStr">
        <is>
          <t>ÖREBRO LÄN</t>
        </is>
      </c>
      <c r="G84" t="inlineStr">
        <is>
          <t>ASKERSUND</t>
        </is>
      </c>
      <c r="I84" t="n">
        <v>1.9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HYPERLINK("https://klasma.github.io/Logging_1882/artfynd/A 7069-2024 artfynd.xlsx", "A 7069-2024")</f>
        <v/>
      </c>
      <c r="X84">
        <f>HYPERLINK("https://klasma.github.io/Logging_1882/kartor/A 7069-2024 karta.png", "A 7069-2024")</f>
        <v/>
      </c>
      <c r="Y84">
        <f>HYPERLINK("https://klasma.github.io/Logging_1882/kartor_geotiff/A 7069-2024 georefererad karta.tif", "A 7069-2024")</f>
        <v/>
      </c>
      <c r="AA84">
        <f>HYPERLINK("https://klasma.github.io/Logging_1882/klagomål/A 7069-2024 FSC-klagomål.docx", "A 7069-2024")</f>
        <v/>
      </c>
      <c r="AB84">
        <f>HYPERLINK("https://klasma.github.io/Logging_1882/klagomålsmail/A 7069-2024 FSC-klagomål mail.docx", "A 7069-2024")</f>
        <v/>
      </c>
      <c r="AC84">
        <f>HYPERLINK("https://klasma.github.io/Logging_1882/tillsyn/A 7069-2024 tillsynsbegäran.docx", "A 7069-2024")</f>
        <v/>
      </c>
      <c r="AD84">
        <f>HYPERLINK("https://klasma.github.io/Logging_1882/tillsynsmail/A 7069-2024 tillsynsbegäran mail.docx", "A 7069-2024")</f>
        <v/>
      </c>
    </row>
    <row r="85" ht="15" customHeight="1">
      <c r="A85" t="inlineStr">
        <is>
          <t>A 37442-2026</t>
        </is>
      </c>
      <c r="B85" t="inlineStr">
        <is>
          <t>avverkningsanmälan</t>
        </is>
      </c>
      <c r="C85" t="inlineStr">
        <is>
          <t>Föryngringsavverkning</t>
        </is>
      </c>
      <c r="D85" s="1" t="n">
        <v>46275</v>
      </c>
      <c r="E85" s="1" t="n">
        <v>46326</v>
      </c>
      <c r="F85" t="inlineStr">
        <is>
          <t>ÖREBRO LÄN</t>
        </is>
      </c>
      <c r="G85" t="inlineStr">
        <is>
          <t>ASKERSUND</t>
        </is>
      </c>
      <c r="H85" t="inlineStr">
        <is>
          <t>Sveaskog</t>
        </is>
      </c>
      <c r="I85" t="n">
        <v>2</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37442-2026 artfynd.xlsx", "A 37442-2026")</f>
        <v/>
      </c>
      <c r="X85">
        <f>HYPERLINK("https://klasma.github.io/Logging_1882/kartor/A 37442-2026 karta.png", "A 37442-2026")</f>
        <v/>
      </c>
      <c r="Y85">
        <f>HYPERLINK("https://klasma.github.io/Logging_1882/kartor_geotiff/A 37442-2026 georefererad karta.tif", "A 37442-2026")</f>
        <v/>
      </c>
      <c r="AA85">
        <f>HYPERLINK("https://klasma.github.io/Logging_1882/klagomål/A 37442-2026 FSC-klagomål.docx", "A 37442-2026")</f>
        <v/>
      </c>
      <c r="AB85">
        <f>HYPERLINK("https://klasma.github.io/Logging_1882/klagomålsmail/A 37442-2026 FSC-klagomål mail.docx", "A 37442-2026")</f>
        <v/>
      </c>
      <c r="AC85">
        <f>HYPERLINK("https://klasma.github.io/Logging_1882/tillsyn/A 37442-2026 tillsynsbegäran.docx", "A 37442-2026")</f>
        <v/>
      </c>
      <c r="AD85">
        <f>HYPERLINK("https://klasma.github.io/Logging_1882/tillsynsmail/A 37442-2026 tillsynsbegäran mail.docx", "A 37442-2026")</f>
        <v/>
      </c>
    </row>
    <row r="86" ht="15" customHeight="1">
      <c r="A86" t="inlineStr">
        <is>
          <t>A 44923-2026</t>
        </is>
      </c>
      <c r="B86" t="inlineStr">
        <is>
          <t>avverkningsanmälan</t>
        </is>
      </c>
      <c r="C86" t="inlineStr">
        <is>
          <t>Avverkning för annat ändamål</t>
        </is>
      </c>
      <c r="D86" s="1" t="n">
        <v>46323</v>
      </c>
      <c r="E86" s="1" t="n">
        <v>46326</v>
      </c>
      <c r="F86" t="inlineStr">
        <is>
          <t>ÖREBRO LÄN</t>
        </is>
      </c>
      <c r="G86" t="inlineStr">
        <is>
          <t>ASKERSUND</t>
        </is>
      </c>
      <c r="I86" t="n">
        <v>2.2</v>
      </c>
      <c r="J86" t="n">
        <v>1</v>
      </c>
      <c r="K86" t="n">
        <v>0</v>
      </c>
      <c r="L86" t="n">
        <v>0</v>
      </c>
      <c r="M86" t="n">
        <v>0</v>
      </c>
      <c r="N86" t="n">
        <v>0</v>
      </c>
      <c r="O86" t="n">
        <v>0</v>
      </c>
      <c r="P86" t="n">
        <v>0</v>
      </c>
      <c r="Q86" t="n">
        <v>0</v>
      </c>
      <c r="R86" t="n">
        <v>0</v>
      </c>
      <c r="S86" t="n">
        <v>1</v>
      </c>
      <c r="T86" t="n">
        <v>1</v>
      </c>
      <c r="U86" t="n">
        <v>0</v>
      </c>
      <c r="V86" s="2" t="inlineStr">
        <is>
          <t>Gullviva</t>
        </is>
      </c>
      <c r="W86">
        <f>HYPERLINK("https://klasma.github.io/Logging_1882/artfynd/A 44923-2026 artfynd.xlsx", "A 44923-2026")</f>
        <v/>
      </c>
      <c r="X86">
        <f>HYPERLINK("https://klasma.github.io/Logging_1882/kartor/A 44923-2026 karta.png", "A 44923-2026")</f>
        <v/>
      </c>
      <c r="Y86">
        <f>HYPERLINK("https://klasma.github.io/Logging_1882/kartor_geotiff/A 44923-2026 georefererad karta.tif", "A 44923-2026")</f>
        <v/>
      </c>
      <c r="AA86">
        <f>HYPERLINK("https://klasma.github.io/Logging_1882/klagomål/A 44923-2026 FSC-klagomål.docx", "A 44923-2026")</f>
        <v/>
      </c>
      <c r="AB86">
        <f>HYPERLINK("https://klasma.github.io/Logging_1882/klagomålsmail/A 44923-2026 FSC-klagomål mail.docx", "A 44923-2026")</f>
        <v/>
      </c>
      <c r="AC86">
        <f>HYPERLINK("https://klasma.github.io/Logging_1882/tillsyn/A 44923-2026 tillsynsbegäran.docx", "A 44923-2026")</f>
        <v/>
      </c>
      <c r="AD86">
        <f>HYPERLINK("https://klasma.github.io/Logging_1882/tillsynsmail/A 44923-2026 tillsynsbegäran mail.docx", "A 44923-2026")</f>
        <v/>
      </c>
    </row>
    <row r="87" ht="15" customHeight="1">
      <c r="A87" t="inlineStr">
        <is>
          <t>S 4932-2024</t>
        </is>
      </c>
      <c r="B87" t="inlineStr">
        <is>
          <t>samrådsanmälan</t>
        </is>
      </c>
      <c r="C87" t="inlineStr">
        <is>
          <t>Annan skogsbruksåtgärd</t>
        </is>
      </c>
      <c r="D87" s="1" t="n">
        <v>45627</v>
      </c>
      <c r="E87" s="1" t="n">
        <v>46326</v>
      </c>
      <c r="F87" t="inlineStr">
        <is>
          <t>ÖREBRO LÄN</t>
        </is>
      </c>
      <c r="G87" t="inlineStr">
        <is>
          <t>ASKERSUND</t>
        </is>
      </c>
      <c r="I87" t="n">
        <v>2.5</v>
      </c>
      <c r="J87" t="n">
        <v>0</v>
      </c>
      <c r="K87" t="n">
        <v>0</v>
      </c>
      <c r="L87" t="n">
        <v>1</v>
      </c>
      <c r="M87" t="n">
        <v>0</v>
      </c>
      <c r="N87" t="n">
        <v>0</v>
      </c>
      <c r="O87" t="n">
        <v>0</v>
      </c>
      <c r="P87" t="n">
        <v>0</v>
      </c>
      <c r="Q87" t="n">
        <v>1</v>
      </c>
      <c r="R87" t="n">
        <v>0</v>
      </c>
      <c r="S87" t="n">
        <v>1</v>
      </c>
      <c r="T87" t="n">
        <v>2</v>
      </c>
      <c r="U87" t="n">
        <v>0</v>
      </c>
      <c r="V87" s="2" t="inlineStr">
        <is>
          <t>Slåtterfibbla</t>
        </is>
      </c>
      <c r="W87">
        <f>HYPERLINK("https://klasma.github.io/Logging_1882/artfynd/S 4932-2024 artfynd.xlsx", "S 4932-2024")</f>
        <v/>
      </c>
      <c r="X87">
        <f>HYPERLINK("https://klasma.github.io/Logging_1882/kartor/S 4932-2024 karta.png", "S 4932-2024")</f>
        <v/>
      </c>
      <c r="Y87">
        <f>HYPERLINK("https://klasma.github.io/Logging_1882/kartor_geotiff/S 4932-2024 georefererad karta.tif", "S 4932-2024")</f>
        <v/>
      </c>
      <c r="AA87">
        <f>HYPERLINK("https://klasma.github.io/Logging_1882/klagomål/S 4932-2024 FSC-klagomål.docx", "S 4932-2024")</f>
        <v/>
      </c>
      <c r="AB87">
        <f>HYPERLINK("https://klasma.github.io/Logging_1882/klagomålsmail/S 4932-2024 FSC-klagomål mail.docx", "S 4932-2024")</f>
        <v/>
      </c>
      <c r="AC87">
        <f>HYPERLINK("https://klasma.github.io/Logging_1882/tillsyn/S 4932-2024 tillsynsbegäran.docx", "S 4932-2024")</f>
        <v/>
      </c>
      <c r="AD87">
        <f>HYPERLINK("https://klasma.github.io/Logging_1882/tillsynsmail/S 4932-2024 tillsynsbegäran mail.docx", "S 4932-2024")</f>
        <v/>
      </c>
    </row>
    <row r="88" ht="15" customHeight="1">
      <c r="A88" t="inlineStr">
        <is>
          <t>A 66235-2021</t>
        </is>
      </c>
      <c r="B88" t="inlineStr">
        <is>
          <t>avverkningsanmälan</t>
        </is>
      </c>
      <c r="C88" t="inlineStr">
        <is>
          <t>Föryngringsavverkning</t>
        </is>
      </c>
      <c r="D88" s="1" t="n">
        <v>44518</v>
      </c>
      <c r="E88" s="1" t="n">
        <v>46326</v>
      </c>
      <c r="F88" t="inlineStr">
        <is>
          <t>ÖREBRO LÄN</t>
        </is>
      </c>
      <c r="G88" t="inlineStr">
        <is>
          <t>ASKERSUND</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68859-2021</t>
        </is>
      </c>
      <c r="B89" t="inlineStr">
        <is>
          <t>avverkningsanmälan</t>
        </is>
      </c>
      <c r="C89" t="inlineStr">
        <is>
          <t>Föryngringsavverkning</t>
        </is>
      </c>
      <c r="D89" s="1" t="n">
        <v>44530</v>
      </c>
      <c r="E89" s="1" t="n">
        <v>46326</v>
      </c>
      <c r="F89" t="inlineStr">
        <is>
          <t>ÖREBRO LÄN</t>
        </is>
      </c>
      <c r="G89" t="inlineStr">
        <is>
          <t>ASKERSUND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46326</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7400-2022</t>
        </is>
      </c>
      <c r="B91" t="inlineStr">
        <is>
          <t>avverkningsanmälan</t>
        </is>
      </c>
      <c r="C91" t="inlineStr">
        <is>
          <t>Avverkning för annat ändamål</t>
        </is>
      </c>
      <c r="D91" s="1" t="n">
        <v>44606</v>
      </c>
      <c r="E91" s="1" t="n">
        <v>46326</v>
      </c>
      <c r="F91" t="inlineStr">
        <is>
          <t>ÖREBRO LÄN</t>
        </is>
      </c>
      <c r="G91" t="inlineStr">
        <is>
          <t>ASKERSUND</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56014-2022</t>
        </is>
      </c>
      <c r="B92" t="inlineStr">
        <is>
          <t>avverkningsanmälan</t>
        </is>
      </c>
      <c r="C92" t="inlineStr">
        <is>
          <t>Föryngringsavverkning</t>
        </is>
      </c>
      <c r="D92" s="1" t="n">
        <v>44889</v>
      </c>
      <c r="E92" s="1" t="n">
        <v>46326</v>
      </c>
      <c r="F92" t="inlineStr">
        <is>
          <t>ÖREBRO LÄN</t>
        </is>
      </c>
      <c r="G92" t="inlineStr">
        <is>
          <t>ASKERSUND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7468-2022</t>
        </is>
      </c>
      <c r="B93" t="inlineStr">
        <is>
          <t>avverkningsanmälan</t>
        </is>
      </c>
      <c r="C93" t="inlineStr">
        <is>
          <t>Föryngringsavverkning</t>
        </is>
      </c>
      <c r="D93" s="1" t="n">
        <v>44607</v>
      </c>
      <c r="E93" s="1" t="n">
        <v>46326</v>
      </c>
      <c r="F93" t="inlineStr">
        <is>
          <t>ÖREBRO LÄN</t>
        </is>
      </c>
      <c r="G93" t="inlineStr">
        <is>
          <t>ASKERSUND</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64115-2021</t>
        </is>
      </c>
      <c r="B94" t="inlineStr">
        <is>
          <t>avverkningsanmälan</t>
        </is>
      </c>
      <c r="C94" t="inlineStr">
        <is>
          <t>Föryngringsavverkning</t>
        </is>
      </c>
      <c r="D94" s="1" t="n">
        <v>44509</v>
      </c>
      <c r="E94" s="1" t="n">
        <v>46326</v>
      </c>
      <c r="F94" t="inlineStr">
        <is>
          <t>ÖREBRO LÄN</t>
        </is>
      </c>
      <c r="G94" t="inlineStr">
        <is>
          <t>ASKERSUND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32578-2022</t>
        </is>
      </c>
      <c r="B95" t="inlineStr">
        <is>
          <t>avverkningsanmälan</t>
        </is>
      </c>
      <c r="C95" t="inlineStr">
        <is>
          <t>Föryngringsavverkning</t>
        </is>
      </c>
      <c r="D95" s="1" t="n">
        <v>44783</v>
      </c>
      <c r="E95" s="1" t="n">
        <v>46326</v>
      </c>
      <c r="F95" t="inlineStr">
        <is>
          <t>ÖREBRO LÄN</t>
        </is>
      </c>
      <c r="G95" t="inlineStr">
        <is>
          <t>ASKERSUND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25860-2022</t>
        </is>
      </c>
      <c r="B96" t="inlineStr">
        <is>
          <t>avverkningsanmälan</t>
        </is>
      </c>
      <c r="C96" t="inlineStr">
        <is>
          <t>Föryngringsavverkning</t>
        </is>
      </c>
      <c r="D96" s="1" t="n">
        <v>44733</v>
      </c>
      <c r="E96" s="1" t="n">
        <v>46326</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46326</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40999-2022</t>
        </is>
      </c>
      <c r="B98" t="inlineStr">
        <is>
          <t>avverkningsanmälan</t>
        </is>
      </c>
      <c r="C98" t="inlineStr">
        <is>
          <t>Föryngringsavverkning</t>
        </is>
      </c>
      <c r="D98" s="1" t="n">
        <v>44825</v>
      </c>
      <c r="E98" s="1" t="n">
        <v>46326</v>
      </c>
      <c r="F98" t="inlineStr">
        <is>
          <t>ÖREBRO LÄN</t>
        </is>
      </c>
      <c r="G98" t="inlineStr">
        <is>
          <t>ASKERSUND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45297-2022</t>
        </is>
      </c>
      <c r="B99" t="inlineStr">
        <is>
          <t>avverkningsanmälan</t>
        </is>
      </c>
      <c r="C99" t="inlineStr">
        <is>
          <t>Föryngringsavverkning</t>
        </is>
      </c>
      <c r="D99" s="1" t="n">
        <v>44844</v>
      </c>
      <c r="E99" s="1" t="n">
        <v>46326</v>
      </c>
      <c r="F99" t="inlineStr">
        <is>
          <t>ÖREBRO LÄN</t>
        </is>
      </c>
      <c r="G99" t="inlineStr">
        <is>
          <t>ASKERSUND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7481-2022</t>
        </is>
      </c>
      <c r="B100" t="inlineStr">
        <is>
          <t>avverkningsanmälan</t>
        </is>
      </c>
      <c r="C100" t="inlineStr">
        <is>
          <t>Föryngringsavverkning</t>
        </is>
      </c>
      <c r="D100" s="1" t="n">
        <v>44607</v>
      </c>
      <c r="E100" s="1" t="n">
        <v>46326</v>
      </c>
      <c r="F100" t="inlineStr">
        <is>
          <t>ÖREBRO LÄN</t>
        </is>
      </c>
      <c r="G100" t="inlineStr">
        <is>
          <t>ASKERSUND</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39579-2022</t>
        </is>
      </c>
      <c r="B101" t="inlineStr">
        <is>
          <t>avverkningsanmälan</t>
        </is>
      </c>
      <c r="C101" t="inlineStr">
        <is>
          <t>Avverkning för annat ändamål</t>
        </is>
      </c>
      <c r="D101" s="1" t="n">
        <v>44818</v>
      </c>
      <c r="E101" s="1" t="n">
        <v>46326</v>
      </c>
      <c r="F101" t="inlineStr">
        <is>
          <t>ÖREBRO LÄN</t>
        </is>
      </c>
      <c r="G101" t="inlineStr">
        <is>
          <t>ASKERSUND</t>
        </is>
      </c>
      <c r="H101" t="inlineStr">
        <is>
          <t>Sveaskog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13502-2022</t>
        </is>
      </c>
      <c r="B102" t="inlineStr">
        <is>
          <t>avverkningsanmälan</t>
        </is>
      </c>
      <c r="C102" t="inlineStr">
        <is>
          <t>Avverkning för att bevara och utveckla /försöksver</t>
        </is>
      </c>
      <c r="D102" s="1" t="n">
        <v>44647</v>
      </c>
      <c r="E102" s="1" t="n">
        <v>46326</v>
      </c>
      <c r="F102" t="inlineStr">
        <is>
          <t>ÖREBRO LÄN</t>
        </is>
      </c>
      <c r="G102" t="inlineStr">
        <is>
          <t>ASKERSUND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64007-2021</t>
        </is>
      </c>
      <c r="B103" t="inlineStr">
        <is>
          <t>avverkningsanmälan</t>
        </is>
      </c>
      <c r="C103" t="inlineStr">
        <is>
          <t>Föryngringsavverkning</t>
        </is>
      </c>
      <c r="D103" s="1" t="n">
        <v>44510</v>
      </c>
      <c r="E103" s="1" t="n">
        <v>46326</v>
      </c>
      <c r="F103" t="inlineStr">
        <is>
          <t>ÖREBRO LÄN</t>
        </is>
      </c>
      <c r="G103" t="inlineStr">
        <is>
          <t>ASKERSUND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46326</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46326</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46326</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66879-2021</t>
        </is>
      </c>
      <c r="B107" t="inlineStr">
        <is>
          <t>avverkningsanmälan</t>
        </is>
      </c>
      <c r="C107" t="inlineStr">
        <is>
          <t>Föryngringsavverkning</t>
        </is>
      </c>
      <c r="D107" s="1" t="n">
        <v>44522</v>
      </c>
      <c r="E107" s="1" t="n">
        <v>46326</v>
      </c>
      <c r="F107" t="inlineStr">
        <is>
          <t>ÖREBRO LÄN</t>
        </is>
      </c>
      <c r="G107" t="inlineStr">
        <is>
          <t>ASKERSUND</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46326</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46326</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46326</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46326</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30787-2022</t>
        </is>
      </c>
      <c r="B112" t="inlineStr">
        <is>
          <t>avverkningsanmälan</t>
        </is>
      </c>
      <c r="C112" t="inlineStr">
        <is>
          <t>Föryngringsavverkning</t>
        </is>
      </c>
      <c r="D112" s="1" t="n">
        <v>44764</v>
      </c>
      <c r="E112" s="1" t="n">
        <v>46326</v>
      </c>
      <c r="F112" t="inlineStr">
        <is>
          <t>ÖREBRO LÄN</t>
        </is>
      </c>
      <c r="G112" t="inlineStr">
        <is>
          <t>ASKERSUND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30878-2022</t>
        </is>
      </c>
      <c r="B113" t="inlineStr">
        <is>
          <t>avverkningsanmälan</t>
        </is>
      </c>
      <c r="C113" t="inlineStr">
        <is>
          <t>Föryngringsavverkning</t>
        </is>
      </c>
      <c r="D113" s="1" t="n">
        <v>44767</v>
      </c>
      <c r="E113" s="1" t="n">
        <v>46326</v>
      </c>
      <c r="F113" t="inlineStr">
        <is>
          <t>ÖREBRO LÄN</t>
        </is>
      </c>
      <c r="G113" t="inlineStr">
        <is>
          <t>ASKERSUND</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46326</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46326</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46326</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46326</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46326</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64778-2021</t>
        </is>
      </c>
      <c r="B119" t="inlineStr">
        <is>
          <t>avverkningsanmälan</t>
        </is>
      </c>
      <c r="C119" t="inlineStr">
        <is>
          <t>Föryngringsavverkning</t>
        </is>
      </c>
      <c r="D119" s="1" t="n">
        <v>44512</v>
      </c>
      <c r="E119" s="1" t="n">
        <v>46326</v>
      </c>
      <c r="F119" t="inlineStr">
        <is>
          <t>ÖREBRO LÄN</t>
        </is>
      </c>
      <c r="G119" t="inlineStr">
        <is>
          <t>ASKERSUND</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46326</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46326</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46326</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46326</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46326</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46326</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46326</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12465-2022</t>
        </is>
      </c>
      <c r="B127" t="inlineStr">
        <is>
          <t>avverkningsanmälan</t>
        </is>
      </c>
      <c r="C127" t="inlineStr">
        <is>
          <t>Föryngringsavverkning</t>
        </is>
      </c>
      <c r="D127" s="1" t="n">
        <v>44638</v>
      </c>
      <c r="E127" s="1" t="n">
        <v>46326</v>
      </c>
      <c r="F127" t="inlineStr">
        <is>
          <t>ÖREBRO LÄN</t>
        </is>
      </c>
      <c r="G127" t="inlineStr">
        <is>
          <t>ASKERSUND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22665-2022</t>
        </is>
      </c>
      <c r="B128" t="inlineStr">
        <is>
          <t>avverkningsanmälan</t>
        </is>
      </c>
      <c r="C128" t="inlineStr">
        <is>
          <t>Föryngringsavverkning</t>
        </is>
      </c>
      <c r="D128" s="1" t="n">
        <v>44714</v>
      </c>
      <c r="E128" s="1" t="n">
        <v>46326</v>
      </c>
      <c r="F128" t="inlineStr">
        <is>
          <t>ÖREBRO LÄN</t>
        </is>
      </c>
      <c r="G128" t="inlineStr">
        <is>
          <t>ASKERSUND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63941-2021</t>
        </is>
      </c>
      <c r="B129" t="inlineStr">
        <is>
          <t>avverkningsanmälan</t>
        </is>
      </c>
      <c r="C129" t="inlineStr">
        <is>
          <t>Föryngringsavverkning</t>
        </is>
      </c>
      <c r="D129" s="1" t="n">
        <v>44509</v>
      </c>
      <c r="E129" s="1" t="n">
        <v>46326</v>
      </c>
      <c r="F129" t="inlineStr">
        <is>
          <t>ÖREBRO LÄN</t>
        </is>
      </c>
      <c r="G129" t="inlineStr">
        <is>
          <t>ASKERSUND</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46326</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46326</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65000-2021</t>
        </is>
      </c>
      <c r="B132" t="inlineStr">
        <is>
          <t>avverkningsanmälan</t>
        </is>
      </c>
      <c r="C132" t="inlineStr">
        <is>
          <t>Föryngringsavverkning</t>
        </is>
      </c>
      <c r="D132" s="1" t="n">
        <v>44514</v>
      </c>
      <c r="E132" s="1" t="n">
        <v>46326</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46326</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12730-2022</t>
        </is>
      </c>
      <c r="B134" t="inlineStr">
        <is>
          <t>avverkningsanmälan</t>
        </is>
      </c>
      <c r="C134" t="inlineStr">
        <is>
          <t>Föryngringsavverkning</t>
        </is>
      </c>
      <c r="D134" s="1" t="n">
        <v>44641</v>
      </c>
      <c r="E134" s="1" t="n">
        <v>46326</v>
      </c>
      <c r="F134" t="inlineStr">
        <is>
          <t>ÖREBRO LÄN</t>
        </is>
      </c>
      <c r="G134" t="inlineStr">
        <is>
          <t>ASKERSUND</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67275-2021</t>
        </is>
      </c>
      <c r="B135" t="inlineStr">
        <is>
          <t>avverkningsanmälan</t>
        </is>
      </c>
      <c r="C135" t="inlineStr">
        <is>
          <t>Föryngringsavverkning</t>
        </is>
      </c>
      <c r="D135" s="1" t="n">
        <v>44523</v>
      </c>
      <c r="E135" s="1" t="n">
        <v>46326</v>
      </c>
      <c r="F135" t="inlineStr">
        <is>
          <t>ÖREBRO LÄN</t>
        </is>
      </c>
      <c r="G135" t="inlineStr">
        <is>
          <t>ASKERSUND</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13997-2022</t>
        </is>
      </c>
      <c r="B136" t="inlineStr">
        <is>
          <t>avverkningsanmälan</t>
        </is>
      </c>
      <c r="C136" t="inlineStr">
        <is>
          <t>Föryngringsavverkning</t>
        </is>
      </c>
      <c r="D136" s="1" t="n">
        <v>44650</v>
      </c>
      <c r="E136" s="1" t="n">
        <v>46326</v>
      </c>
      <c r="F136" t="inlineStr">
        <is>
          <t>ÖREBRO LÄN</t>
        </is>
      </c>
      <c r="G136" t="inlineStr">
        <is>
          <t>ASKERSUND</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46326</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48869-2022</t>
        </is>
      </c>
      <c r="B138" t="inlineStr">
        <is>
          <t>avverkningsanmälan</t>
        </is>
      </c>
      <c r="C138" t="inlineStr">
        <is>
          <t>Föryngringsavverkning</t>
        </is>
      </c>
      <c r="D138" s="1" t="n">
        <v>44859</v>
      </c>
      <c r="E138" s="1" t="n">
        <v>46326</v>
      </c>
      <c r="F138" t="inlineStr">
        <is>
          <t>ÖREBRO LÄN</t>
        </is>
      </c>
      <c r="G138" t="inlineStr">
        <is>
          <t>ASKERSUND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2991-2023</t>
        </is>
      </c>
      <c r="B139" t="inlineStr">
        <is>
          <t>avverkningsanmälan</t>
        </is>
      </c>
      <c r="C139" t="inlineStr">
        <is>
          <t>Föryngringsavverkning</t>
        </is>
      </c>
      <c r="D139" s="1" t="n">
        <v>44945</v>
      </c>
      <c r="E139" s="1" t="n">
        <v>46326</v>
      </c>
      <c r="F139" t="inlineStr">
        <is>
          <t>ÖREBRO LÄN</t>
        </is>
      </c>
      <c r="G139" t="inlineStr">
        <is>
          <t>ASKERSUND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7544-2024</t>
        </is>
      </c>
      <c r="B140" t="inlineStr">
        <is>
          <t>avverkningsanmälan</t>
        </is>
      </c>
      <c r="C140" t="inlineStr">
        <is>
          <t>Föryngringsavverkning</t>
        </is>
      </c>
      <c r="D140" s="1" t="n">
        <v>45348</v>
      </c>
      <c r="E140" s="1" t="n">
        <v>46326</v>
      </c>
      <c r="F140" t="inlineStr">
        <is>
          <t>ÖREBRO LÄN</t>
        </is>
      </c>
      <c r="G140" t="inlineStr">
        <is>
          <t>ASKERSUND</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11635-2024</t>
        </is>
      </c>
      <c r="B141" t="inlineStr">
        <is>
          <t>avverkningsanmälan</t>
        </is>
      </c>
      <c r="C141" t="inlineStr">
        <is>
          <t>Föryngringsavverkning</t>
        </is>
      </c>
      <c r="D141" s="1" t="n">
        <v>45373</v>
      </c>
      <c r="E141" s="1" t="n">
        <v>46326</v>
      </c>
      <c r="F141" t="inlineStr">
        <is>
          <t>ÖREBRO LÄN</t>
        </is>
      </c>
      <c r="G141" t="inlineStr">
        <is>
          <t>ASKERSUND</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7704-2022</t>
        </is>
      </c>
      <c r="B142" t="inlineStr">
        <is>
          <t>avverkningsanmälan</t>
        </is>
      </c>
      <c r="C142" t="inlineStr">
        <is>
          <t>Föryngringsavverkning</t>
        </is>
      </c>
      <c r="D142" s="1" t="n">
        <v>44608</v>
      </c>
      <c r="E142" s="1" t="n">
        <v>46326</v>
      </c>
      <c r="F142" t="inlineStr">
        <is>
          <t>ÖREBRO LÄN</t>
        </is>
      </c>
      <c r="G142" t="inlineStr">
        <is>
          <t>ASKERSUND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7713-2022</t>
        </is>
      </c>
      <c r="B143" t="inlineStr">
        <is>
          <t>avverkningsanmälan</t>
        </is>
      </c>
      <c r="C143" t="inlineStr">
        <is>
          <t>Föryngringsavverkning</t>
        </is>
      </c>
      <c r="D143" s="1" t="n">
        <v>44608</v>
      </c>
      <c r="E143" s="1" t="n">
        <v>46326</v>
      </c>
      <c r="F143" t="inlineStr">
        <is>
          <t>ÖREBRO LÄN</t>
        </is>
      </c>
      <c r="G143" t="inlineStr">
        <is>
          <t>ASKERSUND</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7730-2022</t>
        </is>
      </c>
      <c r="B144" t="inlineStr">
        <is>
          <t>avverkningsanmälan</t>
        </is>
      </c>
      <c r="C144" t="inlineStr">
        <is>
          <t>Föryngringsavverkning</t>
        </is>
      </c>
      <c r="D144" s="1" t="n">
        <v>44608</v>
      </c>
      <c r="E144" s="1" t="n">
        <v>46326</v>
      </c>
      <c r="F144" t="inlineStr">
        <is>
          <t>ÖREBRO LÄN</t>
        </is>
      </c>
      <c r="G144" t="inlineStr">
        <is>
          <t>ASKERSUND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52289-2023</t>
        </is>
      </c>
      <c r="B145" t="inlineStr">
        <is>
          <t>avverkningsanmälan</t>
        </is>
      </c>
      <c r="C145" t="inlineStr">
        <is>
          <t>Föryngringsavverkning</t>
        </is>
      </c>
      <c r="D145" s="1" t="n">
        <v>45224</v>
      </c>
      <c r="E145" s="1" t="n">
        <v>46326</v>
      </c>
      <c r="F145" t="inlineStr">
        <is>
          <t>ÖREBRO LÄN</t>
        </is>
      </c>
      <c r="G145" t="inlineStr">
        <is>
          <t>ASKERSUND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23807-2023</t>
        </is>
      </c>
      <c r="B146" t="inlineStr">
        <is>
          <t>avverkningsanmälan</t>
        </is>
      </c>
      <c r="C146" t="inlineStr">
        <is>
          <t>Föryngringsavverkning</t>
        </is>
      </c>
      <c r="D146" s="1" t="n">
        <v>45078</v>
      </c>
      <c r="E146" s="1" t="n">
        <v>46326</v>
      </c>
      <c r="F146" t="inlineStr">
        <is>
          <t>ÖREBRO LÄN</t>
        </is>
      </c>
      <c r="G146" t="inlineStr">
        <is>
          <t>ASKERSUND</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38624-2023</t>
        </is>
      </c>
      <c r="B147" t="inlineStr">
        <is>
          <t>avverkningsanmälan</t>
        </is>
      </c>
      <c r="C147" t="inlineStr">
        <is>
          <t>Föryngringsavverkning</t>
        </is>
      </c>
      <c r="D147" s="1" t="n">
        <v>45162</v>
      </c>
      <c r="E147" s="1" t="n">
        <v>46326</v>
      </c>
      <c r="F147" t="inlineStr">
        <is>
          <t>ÖREBRO LÄN</t>
        </is>
      </c>
      <c r="G147" t="inlineStr">
        <is>
          <t>ASKERSUND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48860-2022</t>
        </is>
      </c>
      <c r="B148" t="inlineStr">
        <is>
          <t>avverkningsanmälan</t>
        </is>
      </c>
      <c r="C148" t="inlineStr">
        <is>
          <t>Föryngringsavverkning</t>
        </is>
      </c>
      <c r="D148" s="1" t="n">
        <v>44859</v>
      </c>
      <c r="E148" s="1" t="n">
        <v>46326</v>
      </c>
      <c r="F148" t="inlineStr">
        <is>
          <t>ÖREBRO LÄN</t>
        </is>
      </c>
      <c r="G148" t="inlineStr">
        <is>
          <t>ASKERSUND</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18672-2022</t>
        </is>
      </c>
      <c r="B149" t="inlineStr">
        <is>
          <t>avverkningsanmälan</t>
        </is>
      </c>
      <c r="C149" t="inlineStr">
        <is>
          <t>Föryngringsavverkning</t>
        </is>
      </c>
      <c r="D149" s="1" t="n">
        <v>44687</v>
      </c>
      <c r="E149" s="1" t="n">
        <v>46326</v>
      </c>
      <c r="F149" t="inlineStr">
        <is>
          <t>ÖREBRO LÄN</t>
        </is>
      </c>
      <c r="G149" t="inlineStr">
        <is>
          <t>ASKERSUND</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32994-2024</t>
        </is>
      </c>
      <c r="B150" t="inlineStr">
        <is>
          <t>avverkningsanmälan</t>
        </is>
      </c>
      <c r="C150" t="inlineStr">
        <is>
          <t>Föryngringsavverkning</t>
        </is>
      </c>
      <c r="D150" s="1" t="n">
        <v>45517</v>
      </c>
      <c r="E150" s="1" t="n">
        <v>46326</v>
      </c>
      <c r="F150" t="inlineStr">
        <is>
          <t>ÖREBRO LÄN</t>
        </is>
      </c>
      <c r="G150" t="inlineStr">
        <is>
          <t>ASKERSUND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1813-2024</t>
        </is>
      </c>
      <c r="B151" t="inlineStr">
        <is>
          <t>avverkningsanmälan</t>
        </is>
      </c>
      <c r="C151" t="inlineStr">
        <is>
          <t>Föryngringsavverkning</t>
        </is>
      </c>
      <c r="D151" s="1" t="n">
        <v>45307</v>
      </c>
      <c r="E151" s="1" t="n">
        <v>46326</v>
      </c>
      <c r="F151" t="inlineStr">
        <is>
          <t>ÖREBRO LÄN</t>
        </is>
      </c>
      <c r="G151" t="inlineStr">
        <is>
          <t>ASKERSUND</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9437-2025</t>
        </is>
      </c>
      <c r="B152" t="inlineStr">
        <is>
          <t>avverkningsanmälan</t>
        </is>
      </c>
      <c r="C152" t="inlineStr">
        <is>
          <t>Föryngringsavverkning</t>
        </is>
      </c>
      <c r="D152" s="1" t="n">
        <v>45715</v>
      </c>
      <c r="E152" s="1" t="n">
        <v>46326</v>
      </c>
      <c r="F152" t="inlineStr">
        <is>
          <t>ÖREBRO LÄN</t>
        </is>
      </c>
      <c r="G152" t="inlineStr">
        <is>
          <t>ASKERSUND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17399-2023</t>
        </is>
      </c>
      <c r="B153" t="inlineStr">
        <is>
          <t>avverkningsanmälan</t>
        </is>
      </c>
      <c r="C153" t="inlineStr">
        <is>
          <t>Föryngringsavverkning</t>
        </is>
      </c>
      <c r="D153" s="1" t="n">
        <v>45035</v>
      </c>
      <c r="E153" s="1" t="n">
        <v>46326</v>
      </c>
      <c r="F153" t="inlineStr">
        <is>
          <t>ÖREBRO LÄN</t>
        </is>
      </c>
      <c r="G153" t="inlineStr">
        <is>
          <t>ASKERSUND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11625-2022</t>
        </is>
      </c>
      <c r="B154" t="inlineStr">
        <is>
          <t>avverkningsanmälan</t>
        </is>
      </c>
      <c r="C154" t="inlineStr">
        <is>
          <t>Föryngringsavverkning</t>
        </is>
      </c>
      <c r="D154" s="1" t="n">
        <v>44631</v>
      </c>
      <c r="E154" s="1" t="n">
        <v>46326</v>
      </c>
      <c r="F154" t="inlineStr">
        <is>
          <t>ÖREBRO LÄN</t>
        </is>
      </c>
      <c r="G154" t="inlineStr">
        <is>
          <t>ASKERSUND</t>
        </is>
      </c>
      <c r="I154" t="n">
        <v>9.800000000000001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7077-2024</t>
        </is>
      </c>
      <c r="B155" t="inlineStr">
        <is>
          <t>avverkningsanmälan</t>
        </is>
      </c>
      <c r="C155" t="inlineStr">
        <is>
          <t>Föryngringsavverkning</t>
        </is>
      </c>
      <c r="D155" s="1" t="n">
        <v>45343</v>
      </c>
      <c r="E155" s="1" t="n">
        <v>46326</v>
      </c>
      <c r="F155" t="inlineStr">
        <is>
          <t>ÖREBRO LÄN</t>
        </is>
      </c>
      <c r="G155" t="inlineStr">
        <is>
          <t>ASKERSUND</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62109-2024</t>
        </is>
      </c>
      <c r="B156" t="inlineStr">
        <is>
          <t>avverkningsanmälan</t>
        </is>
      </c>
      <c r="C156" t="inlineStr">
        <is>
          <t>Föryngringsavverkning</t>
        </is>
      </c>
      <c r="D156" s="1" t="n">
        <v>45656</v>
      </c>
      <c r="E156" s="1" t="n">
        <v>46326</v>
      </c>
      <c r="F156" t="inlineStr">
        <is>
          <t>ÖREBRO LÄN</t>
        </is>
      </c>
      <c r="G156" t="inlineStr">
        <is>
          <t>ASKERSUND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14497-2025</t>
        </is>
      </c>
      <c r="B157" t="inlineStr">
        <is>
          <t>avverkningsanmälan</t>
        </is>
      </c>
      <c r="C157" t="inlineStr">
        <is>
          <t>Föryngringsavverkning</t>
        </is>
      </c>
      <c r="D157" s="1" t="n">
        <v>45741</v>
      </c>
      <c r="E157" s="1" t="n">
        <v>46326</v>
      </c>
      <c r="F157" t="inlineStr">
        <is>
          <t>ÖREBRO LÄN</t>
        </is>
      </c>
      <c r="G157" t="inlineStr">
        <is>
          <t>ASKERSUND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23418-2024</t>
        </is>
      </c>
      <c r="B158" t="inlineStr">
        <is>
          <t>avverkningsanmälan</t>
        </is>
      </c>
      <c r="C158" t="inlineStr">
        <is>
          <t>Föryngringsavverkning</t>
        </is>
      </c>
      <c r="D158" s="1" t="n">
        <v>45453</v>
      </c>
      <c r="E158" s="1" t="n">
        <v>46326</v>
      </c>
      <c r="F158" t="inlineStr">
        <is>
          <t>ÖREBRO LÄN</t>
        </is>
      </c>
      <c r="G158" t="inlineStr">
        <is>
          <t>ASKERSUND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23420-2024</t>
        </is>
      </c>
      <c r="B159" t="inlineStr">
        <is>
          <t>avverkningsanmälan</t>
        </is>
      </c>
      <c r="C159" t="inlineStr">
        <is>
          <t>Föryngringsavverkning</t>
        </is>
      </c>
      <c r="D159" s="1" t="n">
        <v>45453</v>
      </c>
      <c r="E159" s="1" t="n">
        <v>46326</v>
      </c>
      <c r="F159" t="inlineStr">
        <is>
          <t>ÖREBRO LÄN</t>
        </is>
      </c>
      <c r="G159" t="inlineStr">
        <is>
          <t>ASKERSUND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59538-2023</t>
        </is>
      </c>
      <c r="B160" t="inlineStr">
        <is>
          <t>avverkningsanmälan</t>
        </is>
      </c>
      <c r="C160" t="inlineStr">
        <is>
          <t>Föryngringsavverkning</t>
        </is>
      </c>
      <c r="D160" s="1" t="n">
        <v>45254</v>
      </c>
      <c r="E160" s="1" t="n">
        <v>46326</v>
      </c>
      <c r="F160" t="inlineStr">
        <is>
          <t>ÖREBRO LÄN</t>
        </is>
      </c>
      <c r="G160" t="inlineStr">
        <is>
          <t>ASKERSUND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25972-2022</t>
        </is>
      </c>
      <c r="B161" t="inlineStr">
        <is>
          <t>avverkningsanmälan</t>
        </is>
      </c>
      <c r="C161" t="inlineStr">
        <is>
          <t>Föryngringsavverkning</t>
        </is>
      </c>
      <c r="D161" s="1" t="n">
        <v>44734</v>
      </c>
      <c r="E161" s="1" t="n">
        <v>46326</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31506-2023</t>
        </is>
      </c>
      <c r="B162" t="inlineStr">
        <is>
          <t>avverkningsanmälan</t>
        </is>
      </c>
      <c r="C162" t="inlineStr">
        <is>
          <t>Föryngringsavverkning</t>
        </is>
      </c>
      <c r="D162" s="1" t="n">
        <v>45115</v>
      </c>
      <c r="E162" s="1" t="n">
        <v>46326</v>
      </c>
      <c r="F162" t="inlineStr">
        <is>
          <t>ÖREBRO LÄN</t>
        </is>
      </c>
      <c r="G162" t="inlineStr">
        <is>
          <t>ASKERSUND</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31509-2023</t>
        </is>
      </c>
      <c r="B163" t="inlineStr">
        <is>
          <t>avverkningsanmälan</t>
        </is>
      </c>
      <c r="C163" t="inlineStr">
        <is>
          <t>Föryngringsavverkning</t>
        </is>
      </c>
      <c r="D163" s="1" t="n">
        <v>45115</v>
      </c>
      <c r="E163" s="1" t="n">
        <v>46326</v>
      </c>
      <c r="F163" t="inlineStr">
        <is>
          <t>ÖREBRO LÄN</t>
        </is>
      </c>
      <c r="G163" t="inlineStr">
        <is>
          <t>ASKERSUND</t>
        </is>
      </c>
      <c r="H163" t="inlineStr">
        <is>
          <t>Sveaskog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50857-2022</t>
        </is>
      </c>
      <c r="B164" t="inlineStr">
        <is>
          <t>avverkningsanmälan</t>
        </is>
      </c>
      <c r="C164" t="inlineStr">
        <is>
          <t>Föryngringsavverkning</t>
        </is>
      </c>
      <c r="D164" s="1" t="n">
        <v>44864</v>
      </c>
      <c r="E164" s="1" t="n">
        <v>46326</v>
      </c>
      <c r="F164" t="inlineStr">
        <is>
          <t>ÖREBRO LÄN</t>
        </is>
      </c>
      <c r="G164" t="inlineStr">
        <is>
          <t>ASKERSUND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3679-2023</t>
        </is>
      </c>
      <c r="B165" t="inlineStr">
        <is>
          <t>avverkningsanmälan</t>
        </is>
      </c>
      <c r="C165" t="inlineStr">
        <is>
          <t>Föryngringsavverkning</t>
        </is>
      </c>
      <c r="D165" s="1" t="n">
        <v>44950</v>
      </c>
      <c r="E165" s="1" t="n">
        <v>46326</v>
      </c>
      <c r="F165" t="inlineStr">
        <is>
          <t>ÖREBRO LÄN</t>
        </is>
      </c>
      <c r="G165" t="inlineStr">
        <is>
          <t>ASKERSUND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48746-2023</t>
        </is>
      </c>
      <c r="B166" t="inlineStr">
        <is>
          <t>avverkningsanmälan</t>
        </is>
      </c>
      <c r="C166" t="inlineStr">
        <is>
          <t>Föryngringsavverkning</t>
        </is>
      </c>
      <c r="D166" s="1" t="n">
        <v>45208</v>
      </c>
      <c r="E166" s="1" t="n">
        <v>46326</v>
      </c>
      <c r="F166" t="inlineStr">
        <is>
          <t>ÖREBRO LÄN</t>
        </is>
      </c>
      <c r="G166" t="inlineStr">
        <is>
          <t>ASKERSUND</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23514-2024</t>
        </is>
      </c>
      <c r="B167" t="inlineStr">
        <is>
          <t>avverkningsanmälan</t>
        </is>
      </c>
      <c r="C167" t="inlineStr">
        <is>
          <t>Föryngringsavverkning</t>
        </is>
      </c>
      <c r="D167" s="1" t="n">
        <v>45453</v>
      </c>
      <c r="E167" s="1" t="n">
        <v>46326</v>
      </c>
      <c r="F167" t="inlineStr">
        <is>
          <t>ÖREBRO LÄN</t>
        </is>
      </c>
      <c r="G167" t="inlineStr">
        <is>
          <t>ASKERSUND</t>
        </is>
      </c>
      <c r="H167" t="inlineStr">
        <is>
          <t>Sveaskog</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32040-2024</t>
        </is>
      </c>
      <c r="B168" t="inlineStr">
        <is>
          <t>avverkningsanmälan</t>
        </is>
      </c>
      <c r="C168" t="inlineStr">
        <is>
          <t>Föryngringsavverkning</t>
        </is>
      </c>
      <c r="D168" s="1" t="n">
        <v>45510</v>
      </c>
      <c r="E168" s="1" t="n">
        <v>46326</v>
      </c>
      <c r="F168" t="inlineStr">
        <is>
          <t>ÖREBRO LÄN</t>
        </is>
      </c>
      <c r="G168" t="inlineStr">
        <is>
          <t>ASKERSUND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27835-2025</t>
        </is>
      </c>
      <c r="B169" t="inlineStr">
        <is>
          <t>avverkningsanmälan</t>
        </is>
      </c>
      <c r="C169" t="inlineStr">
        <is>
          <t>Föryngringsavverkning</t>
        </is>
      </c>
      <c r="D169" s="1" t="n">
        <v>45817</v>
      </c>
      <c r="E169" s="1" t="n">
        <v>46326</v>
      </c>
      <c r="F169" t="inlineStr">
        <is>
          <t>ÖREBRO LÄN</t>
        </is>
      </c>
      <c r="G169" t="inlineStr">
        <is>
          <t>ASKERSUND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50578-2022</t>
        </is>
      </c>
      <c r="B170" t="inlineStr">
        <is>
          <t>avverkningsanmälan</t>
        </is>
      </c>
      <c r="C170" t="inlineStr">
        <is>
          <t>Föryngringsavverkning</t>
        </is>
      </c>
      <c r="D170" s="1" t="n">
        <v>44866</v>
      </c>
      <c r="E170" s="1" t="n">
        <v>46326</v>
      </c>
      <c r="F170" t="inlineStr">
        <is>
          <t>ÖREBRO LÄN</t>
        </is>
      </c>
      <c r="G170" t="inlineStr">
        <is>
          <t>ASKERSUND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43933-2024</t>
        </is>
      </c>
      <c r="B171" t="inlineStr">
        <is>
          <t>avverkningsanmälan</t>
        </is>
      </c>
      <c r="C171" t="inlineStr">
        <is>
          <t>Föryngringsavverkning</t>
        </is>
      </c>
      <c r="D171" s="1" t="n">
        <v>45572</v>
      </c>
      <c r="E171" s="1" t="n">
        <v>46326</v>
      </c>
      <c r="F171" t="inlineStr">
        <is>
          <t>ÖREBRO LÄN</t>
        </is>
      </c>
      <c r="G171" t="inlineStr">
        <is>
          <t>ASKERSUND</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22804-2023</t>
        </is>
      </c>
      <c r="B172" t="inlineStr">
        <is>
          <t>avverkningsanmälan</t>
        </is>
      </c>
      <c r="C172" t="inlineStr">
        <is>
          <t>Föryngringsavverkning</t>
        </is>
      </c>
      <c r="D172" s="1" t="n">
        <v>45072</v>
      </c>
      <c r="E172" s="1" t="n">
        <v>46326</v>
      </c>
      <c r="F172" t="inlineStr">
        <is>
          <t>ÖREBRO LÄN</t>
        </is>
      </c>
      <c r="G172" t="inlineStr">
        <is>
          <t>ASKERSUND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6821-2023</t>
        </is>
      </c>
      <c r="B173" t="inlineStr">
        <is>
          <t>avverkningsanmälan</t>
        </is>
      </c>
      <c r="C173" t="inlineStr">
        <is>
          <t>Föryngringsavverkning</t>
        </is>
      </c>
      <c r="D173" s="1" t="n">
        <v>44967</v>
      </c>
      <c r="E173" s="1" t="n">
        <v>46326</v>
      </c>
      <c r="F173" t="inlineStr">
        <is>
          <t>ÖREBRO LÄN</t>
        </is>
      </c>
      <c r="G173" t="inlineStr">
        <is>
          <t>ASKERSUND</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1123-2026</t>
        </is>
      </c>
      <c r="B174" t="inlineStr">
        <is>
          <t>avverkningsanmälan</t>
        </is>
      </c>
      <c r="C174" t="inlineStr">
        <is>
          <t>Föryngringsavverkning</t>
        </is>
      </c>
      <c r="D174" s="1" t="n">
        <v>46030</v>
      </c>
      <c r="E174" s="1" t="n">
        <v>46326</v>
      </c>
      <c r="F174" t="inlineStr">
        <is>
          <t>ÖREBRO LÄN</t>
        </is>
      </c>
      <c r="G174" t="inlineStr">
        <is>
          <t>ASKERSUND</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1125-2026</t>
        </is>
      </c>
      <c r="B175" t="inlineStr">
        <is>
          <t>avverkningsanmälan</t>
        </is>
      </c>
      <c r="C175" t="inlineStr">
        <is>
          <t>Föryngringsavverkning</t>
        </is>
      </c>
      <c r="D175" s="1" t="n">
        <v>46030</v>
      </c>
      <c r="E175" s="1" t="n">
        <v>46326</v>
      </c>
      <c r="F175" t="inlineStr">
        <is>
          <t>ÖREBRO LÄN</t>
        </is>
      </c>
      <c r="G175" t="inlineStr">
        <is>
          <t>ASKERSUND</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1127-2026</t>
        </is>
      </c>
      <c r="B176" t="inlineStr">
        <is>
          <t>avverkningsanmälan</t>
        </is>
      </c>
      <c r="C176" t="inlineStr">
        <is>
          <t>Föryngringsavverkning</t>
        </is>
      </c>
      <c r="D176" s="1" t="n">
        <v>46030</v>
      </c>
      <c r="E176" s="1" t="n">
        <v>46326</v>
      </c>
      <c r="F176" t="inlineStr">
        <is>
          <t>ÖREBRO LÄN</t>
        </is>
      </c>
      <c r="G176" t="inlineStr">
        <is>
          <t>ASKERSUND</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195-2023</t>
        </is>
      </c>
      <c r="B177" t="inlineStr">
        <is>
          <t>avverkningsanmälan</t>
        </is>
      </c>
      <c r="C177" t="inlineStr">
        <is>
          <t>Föryngringsavverkning</t>
        </is>
      </c>
      <c r="D177" s="1" t="n">
        <v>44928</v>
      </c>
      <c r="E177" s="1" t="n">
        <v>46326</v>
      </c>
      <c r="F177" t="inlineStr">
        <is>
          <t>ÖREBRO LÄN</t>
        </is>
      </c>
      <c r="G177" t="inlineStr">
        <is>
          <t>ASKERSUND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28955-2023</t>
        </is>
      </c>
      <c r="B178" t="inlineStr">
        <is>
          <t>avverkningsanmälan</t>
        </is>
      </c>
      <c r="C178" t="inlineStr">
        <is>
          <t>Avverkning för annat ändamål</t>
        </is>
      </c>
      <c r="D178" s="1" t="n">
        <v>45104</v>
      </c>
      <c r="E178" s="1" t="n">
        <v>46326</v>
      </c>
      <c r="F178" t="inlineStr">
        <is>
          <t>ÖREBRO LÄN</t>
        </is>
      </c>
      <c r="G178" t="inlineStr">
        <is>
          <t>ASKERSUND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27814-2025</t>
        </is>
      </c>
      <c r="B179" t="inlineStr">
        <is>
          <t>avverkningsanmälan</t>
        </is>
      </c>
      <c r="C179" t="inlineStr">
        <is>
          <t>Föryngringsavverkning</t>
        </is>
      </c>
      <c r="D179" s="1" t="n">
        <v>45817</v>
      </c>
      <c r="E179" s="1" t="n">
        <v>46326</v>
      </c>
      <c r="F179" t="inlineStr">
        <is>
          <t>ÖREBRO LÄN</t>
        </is>
      </c>
      <c r="G179" t="inlineStr">
        <is>
          <t>ASKERSUND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642-2022</t>
        </is>
      </c>
      <c r="B180" t="inlineStr">
        <is>
          <t>avverkningsanmälan</t>
        </is>
      </c>
      <c r="C180" t="inlineStr">
        <is>
          <t>Föryngringsavverkning</t>
        </is>
      </c>
      <c r="D180" s="1" t="n">
        <v>44568</v>
      </c>
      <c r="E180" s="1" t="n">
        <v>46326</v>
      </c>
      <c r="F180" t="inlineStr">
        <is>
          <t>ÖREBRO LÄN</t>
        </is>
      </c>
      <c r="G180" t="inlineStr">
        <is>
          <t>ASKERSUND</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37532-2023</t>
        </is>
      </c>
      <c r="B181" t="inlineStr">
        <is>
          <t>avverkningsanmälan</t>
        </is>
      </c>
      <c r="C181" t="inlineStr">
        <is>
          <t>Föryngringsavverkning</t>
        </is>
      </c>
      <c r="D181" s="1" t="n">
        <v>45158</v>
      </c>
      <c r="E181" s="1" t="n">
        <v>46326</v>
      </c>
      <c r="F181" t="inlineStr">
        <is>
          <t>ÖREBRO LÄN</t>
        </is>
      </c>
      <c r="G181" t="inlineStr">
        <is>
          <t>ASKERSUND</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40745-2025</t>
        </is>
      </c>
      <c r="B182" t="inlineStr">
        <is>
          <t>avverkningsanmälan</t>
        </is>
      </c>
      <c r="C182" t="inlineStr">
        <is>
          <t>Föryngringsavverkning</t>
        </is>
      </c>
      <c r="D182" s="1" t="n">
        <v>45897</v>
      </c>
      <c r="E182" s="1" t="n">
        <v>46326</v>
      </c>
      <c r="F182" t="inlineStr">
        <is>
          <t>ÖREBRO LÄN</t>
        </is>
      </c>
      <c r="G182" t="inlineStr">
        <is>
          <t>ASKERSUND</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41264-2023</t>
        </is>
      </c>
      <c r="B183" t="inlineStr">
        <is>
          <t>avverkningsanmälan</t>
        </is>
      </c>
      <c r="C183" t="inlineStr">
        <is>
          <t>Föryngringsavverkning</t>
        </is>
      </c>
      <c r="D183" s="1" t="n">
        <v>45170</v>
      </c>
      <c r="E183" s="1" t="n">
        <v>46326</v>
      </c>
      <c r="F183" t="inlineStr">
        <is>
          <t>ÖREBRO LÄN</t>
        </is>
      </c>
      <c r="G183" t="inlineStr">
        <is>
          <t>ASKERSUND</t>
        </is>
      </c>
      <c r="H183" t="inlineStr">
        <is>
          <t>Övriga Aktiebolag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29802-2025</t>
        </is>
      </c>
      <c r="B184" t="inlineStr">
        <is>
          <t>avverkningsanmälan</t>
        </is>
      </c>
      <c r="C184" t="inlineStr">
        <is>
          <t>Föryngringsavverkning</t>
        </is>
      </c>
      <c r="D184" s="1" t="n">
        <v>45825</v>
      </c>
      <c r="E184" s="1" t="n">
        <v>46326</v>
      </c>
      <c r="F184" t="inlineStr">
        <is>
          <t>ÖREBRO LÄN</t>
        </is>
      </c>
      <c r="G184" t="inlineStr">
        <is>
          <t>ASKERSUND</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30006-2024</t>
        </is>
      </c>
      <c r="B185" t="inlineStr">
        <is>
          <t>avverkningsanmälan</t>
        </is>
      </c>
      <c r="C185" t="inlineStr">
        <is>
          <t>Avverkning för att bevara och utveckla /försöksver</t>
        </is>
      </c>
      <c r="D185" s="1" t="n">
        <v>45485</v>
      </c>
      <c r="E185" s="1" t="n">
        <v>46326</v>
      </c>
      <c r="F185" t="inlineStr">
        <is>
          <t>ÖREBRO LÄN</t>
        </is>
      </c>
      <c r="G185" t="inlineStr">
        <is>
          <t>ASKERSUND</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29985-2024</t>
        </is>
      </c>
      <c r="B186" t="inlineStr">
        <is>
          <t>avverkningsanmälan</t>
        </is>
      </c>
      <c r="C186" t="inlineStr">
        <is>
          <t>Avverkning för att bevara och utveckla /försöksver</t>
        </is>
      </c>
      <c r="D186" s="1" t="n">
        <v>45485</v>
      </c>
      <c r="E186" s="1" t="n">
        <v>46326</v>
      </c>
      <c r="F186" t="inlineStr">
        <is>
          <t>ÖREBRO LÄN</t>
        </is>
      </c>
      <c r="G186" t="inlineStr">
        <is>
          <t>ASKERSUND</t>
        </is>
      </c>
      <c r="H186" t="inlineStr">
        <is>
          <t>Kommuner</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1130-2026</t>
        </is>
      </c>
      <c r="B187" t="inlineStr">
        <is>
          <t>avverkningsanmälan</t>
        </is>
      </c>
      <c r="C187" t="inlineStr">
        <is>
          <t>Föryngringsavverkning</t>
        </is>
      </c>
      <c r="D187" s="1" t="n">
        <v>46030</v>
      </c>
      <c r="E187" s="1" t="n">
        <v>46326</v>
      </c>
      <c r="F187" t="inlineStr">
        <is>
          <t>ÖREBRO LÄN</t>
        </is>
      </c>
      <c r="G187" t="inlineStr">
        <is>
          <t>ASKERSUND</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16097-2023</t>
        </is>
      </c>
      <c r="B188" t="inlineStr">
        <is>
          <t>avverkningsanmälan</t>
        </is>
      </c>
      <c r="C188" t="inlineStr">
        <is>
          <t>Föryngringsavverkning</t>
        </is>
      </c>
      <c r="D188" s="1" t="n">
        <v>45027</v>
      </c>
      <c r="E188" s="1" t="n">
        <v>46326</v>
      </c>
      <c r="F188" t="inlineStr">
        <is>
          <t>ÖREBRO LÄN</t>
        </is>
      </c>
      <c r="G188" t="inlineStr">
        <is>
          <t>ASKERSUND</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37605-2022</t>
        </is>
      </c>
      <c r="B189" t="inlineStr">
        <is>
          <t>avverkningsanmälan</t>
        </is>
      </c>
      <c r="C189" t="inlineStr">
        <is>
          <t>Föryngringsavverkning</t>
        </is>
      </c>
      <c r="D189" s="1" t="n">
        <v>44809</v>
      </c>
      <c r="E189" s="1" t="n">
        <v>46326</v>
      </c>
      <c r="F189" t="inlineStr">
        <is>
          <t>ÖREBRO LÄN</t>
        </is>
      </c>
      <c r="G189" t="inlineStr">
        <is>
          <t>ASKERSUND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29983-2024</t>
        </is>
      </c>
      <c r="B190" t="inlineStr">
        <is>
          <t>avverkningsanmälan</t>
        </is>
      </c>
      <c r="C190" t="inlineStr">
        <is>
          <t>Avverkning för att bevara och utveckla /försöksver</t>
        </is>
      </c>
      <c r="D190" s="1" t="n">
        <v>45485</v>
      </c>
      <c r="E190" s="1" t="n">
        <v>46326</v>
      </c>
      <c r="F190" t="inlineStr">
        <is>
          <t>ÖREBRO LÄN</t>
        </is>
      </c>
      <c r="G190" t="inlineStr">
        <is>
          <t>ASKERSUND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15572-2022</t>
        </is>
      </c>
      <c r="B191" t="inlineStr">
        <is>
          <t>avverkningsanmälan</t>
        </is>
      </c>
      <c r="C191" t="inlineStr">
        <is>
          <t>Föryngringsavverkning</t>
        </is>
      </c>
      <c r="D191" s="1" t="n">
        <v>44662</v>
      </c>
      <c r="E191" s="1" t="n">
        <v>46326</v>
      </c>
      <c r="F191" t="inlineStr">
        <is>
          <t>ÖREBRO LÄN</t>
        </is>
      </c>
      <c r="G191" t="inlineStr">
        <is>
          <t>ASKERSUND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13617-2022</t>
        </is>
      </c>
      <c r="B192" t="inlineStr">
        <is>
          <t>avverkningsanmälan</t>
        </is>
      </c>
      <c r="C192" t="inlineStr">
        <is>
          <t>Föryngringsavverkning</t>
        </is>
      </c>
      <c r="D192" s="1" t="n">
        <v>44648</v>
      </c>
      <c r="E192" s="1" t="n">
        <v>46326</v>
      </c>
      <c r="F192" t="inlineStr">
        <is>
          <t>ÖREBRO LÄN</t>
        </is>
      </c>
      <c r="G192" t="inlineStr">
        <is>
          <t>ASKERSUND</t>
        </is>
      </c>
      <c r="I192" t="n">
        <v>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26485-2022</t>
        </is>
      </c>
      <c r="B193" t="inlineStr">
        <is>
          <t>avverkningsanmälan</t>
        </is>
      </c>
      <c r="C193" t="inlineStr">
        <is>
          <t>Föryngringsavverkning</t>
        </is>
      </c>
      <c r="D193" s="1" t="n">
        <v>44739</v>
      </c>
      <c r="E193" s="1" t="n">
        <v>46326</v>
      </c>
      <c r="F193" t="inlineStr">
        <is>
          <t>ÖREBRO LÄN</t>
        </is>
      </c>
      <c r="G193" t="inlineStr">
        <is>
          <t>ASKERSUND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3749-2026</t>
        </is>
      </c>
      <c r="B194" t="inlineStr">
        <is>
          <t>avverkningsanmälan</t>
        </is>
      </c>
      <c r="C194" t="inlineStr">
        <is>
          <t>Föryngringsavverkning</t>
        </is>
      </c>
      <c r="D194" s="1" t="n">
        <v>46043</v>
      </c>
      <c r="E194" s="1" t="n">
        <v>46326</v>
      </c>
      <c r="F194" t="inlineStr">
        <is>
          <t>ÖREBRO LÄN</t>
        </is>
      </c>
      <c r="G194" t="inlineStr">
        <is>
          <t>ASKERSUND</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12797-2025</t>
        </is>
      </c>
      <c r="B195" t="inlineStr">
        <is>
          <t>avverkningsanmälan</t>
        </is>
      </c>
      <c r="C195" t="inlineStr">
        <is>
          <t>Föryngringsavverkning</t>
        </is>
      </c>
      <c r="D195" s="1" t="n">
        <v>45733</v>
      </c>
      <c r="E195" s="1" t="n">
        <v>46326</v>
      </c>
      <c r="F195" t="inlineStr">
        <is>
          <t>ÖREBRO LÄN</t>
        </is>
      </c>
      <c r="G195" t="inlineStr">
        <is>
          <t>ASKERSUND</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60114-2024</t>
        </is>
      </c>
      <c r="B196" t="inlineStr">
        <is>
          <t>avverkningsanmälan</t>
        </is>
      </c>
      <c r="C196" t="inlineStr">
        <is>
          <t>Avverkning för annat ändamål</t>
        </is>
      </c>
      <c r="D196" s="1" t="n">
        <v>45642</v>
      </c>
      <c r="E196" s="1" t="n">
        <v>46326</v>
      </c>
      <c r="F196" t="inlineStr">
        <is>
          <t>ÖREBRO LÄN</t>
        </is>
      </c>
      <c r="G196" t="inlineStr">
        <is>
          <t>ASKERSUND</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47983-2022</t>
        </is>
      </c>
      <c r="B197" t="inlineStr">
        <is>
          <t>avverkningsanmälan</t>
        </is>
      </c>
      <c r="C197" t="inlineStr">
        <is>
          <t>Föryngringsavverkning</t>
        </is>
      </c>
      <c r="D197" s="1" t="n">
        <v>44855</v>
      </c>
      <c r="E197" s="1" t="n">
        <v>46326</v>
      </c>
      <c r="F197" t="inlineStr">
        <is>
          <t>ÖREBRO LÄN</t>
        </is>
      </c>
      <c r="G197" t="inlineStr">
        <is>
          <t>ASKERSUND</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3526-2026</t>
        </is>
      </c>
      <c r="B198" t="inlineStr">
        <is>
          <t>avverkningsanmälan</t>
        </is>
      </c>
      <c r="C198" t="inlineStr">
        <is>
          <t>Föryngringsavverkning</t>
        </is>
      </c>
      <c r="D198" s="1" t="n">
        <v>46042</v>
      </c>
      <c r="E198" s="1" t="n">
        <v>46326</v>
      </c>
      <c r="F198" t="inlineStr">
        <is>
          <t>ÖREBRO LÄN</t>
        </is>
      </c>
      <c r="G198" t="inlineStr">
        <is>
          <t>ASKERSUND</t>
        </is>
      </c>
      <c r="I198" t="n">
        <v>14.7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3543-2026</t>
        </is>
      </c>
      <c r="B199" t="inlineStr">
        <is>
          <t>avverkningsanmälan</t>
        </is>
      </c>
      <c r="C199" t="inlineStr">
        <is>
          <t>Föryngringsavverkning</t>
        </is>
      </c>
      <c r="D199" s="1" t="n">
        <v>46042</v>
      </c>
      <c r="E199" s="1" t="n">
        <v>46326</v>
      </c>
      <c r="F199" t="inlineStr">
        <is>
          <t>ÖREBRO LÄN</t>
        </is>
      </c>
      <c r="G199" t="inlineStr">
        <is>
          <t>ASKERSUND</t>
        </is>
      </c>
      <c r="I199" t="n">
        <v>10.3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3551-2026</t>
        </is>
      </c>
      <c r="B200" t="inlineStr">
        <is>
          <t>avverkningsanmälan</t>
        </is>
      </c>
      <c r="C200" t="inlineStr">
        <is>
          <t>Föryngringsavverkning</t>
        </is>
      </c>
      <c r="D200" s="1" t="n">
        <v>46042</v>
      </c>
      <c r="E200" s="1" t="n">
        <v>46326</v>
      </c>
      <c r="F200" t="inlineStr">
        <is>
          <t>ÖREBRO LÄN</t>
        </is>
      </c>
      <c r="G200" t="inlineStr">
        <is>
          <t>ASKERSUND</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42100-2025</t>
        </is>
      </c>
      <c r="B201" t="inlineStr">
        <is>
          <t>avverkningsanmälan</t>
        </is>
      </c>
      <c r="C201" t="inlineStr">
        <is>
          <t>Föryngringsavverkning</t>
        </is>
      </c>
      <c r="D201" s="1" t="n">
        <v>45903</v>
      </c>
      <c r="E201" s="1" t="n">
        <v>46326</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12567-2023</t>
        </is>
      </c>
      <c r="B202" t="inlineStr">
        <is>
          <t>avverkningsanmälan</t>
        </is>
      </c>
      <c r="C202" t="inlineStr">
        <is>
          <t>Föryngringsavverkning</t>
        </is>
      </c>
      <c r="D202" s="1" t="n">
        <v>45000</v>
      </c>
      <c r="E202" s="1" t="n">
        <v>46326</v>
      </c>
      <c r="F202" t="inlineStr">
        <is>
          <t>ÖREBRO LÄN</t>
        </is>
      </c>
      <c r="G202" t="inlineStr">
        <is>
          <t>ASKERSUND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32145-2025</t>
        </is>
      </c>
      <c r="B203" t="inlineStr">
        <is>
          <t>avverkningsanmälan</t>
        </is>
      </c>
      <c r="C203" t="inlineStr">
        <is>
          <t>Föryngringsavverkning</t>
        </is>
      </c>
      <c r="D203" s="1" t="n">
        <v>45835</v>
      </c>
      <c r="E203" s="1" t="n">
        <v>46326</v>
      </c>
      <c r="F203" t="inlineStr">
        <is>
          <t>ÖREBRO LÄN</t>
        </is>
      </c>
      <c r="G203" t="inlineStr">
        <is>
          <t>ASKERSUND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50102-2024</t>
        </is>
      </c>
      <c r="B204" t="inlineStr">
        <is>
          <t>avverkningsanmälan</t>
        </is>
      </c>
      <c r="C204" t="inlineStr">
        <is>
          <t>Föryngringsavverkning</t>
        </is>
      </c>
      <c r="D204" s="1" t="n">
        <v>45599</v>
      </c>
      <c r="E204" s="1" t="n">
        <v>46326</v>
      </c>
      <c r="F204" t="inlineStr">
        <is>
          <t>ÖREBRO LÄN</t>
        </is>
      </c>
      <c r="G204" t="inlineStr">
        <is>
          <t>ASKERSUND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5050-2022</t>
        </is>
      </c>
      <c r="B205" t="inlineStr">
        <is>
          <t>avverkningsanmälan</t>
        </is>
      </c>
      <c r="C205" t="inlineStr">
        <is>
          <t>Föryngringsavverkning</t>
        </is>
      </c>
      <c r="D205" s="1" t="n">
        <v>44593</v>
      </c>
      <c r="E205" s="1" t="n">
        <v>46326</v>
      </c>
      <c r="F205" t="inlineStr">
        <is>
          <t>ÖREBRO LÄN</t>
        </is>
      </c>
      <c r="G205" t="inlineStr">
        <is>
          <t>ASKERSUND</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74186-2021</t>
        </is>
      </c>
      <c r="B206" t="inlineStr">
        <is>
          <t>avverkningsanmälan</t>
        </is>
      </c>
      <c r="C206" t="inlineStr">
        <is>
          <t>Föryngringsavverkning</t>
        </is>
      </c>
      <c r="D206" s="1" t="n">
        <v>44558</v>
      </c>
      <c r="E206" s="1" t="n">
        <v>46326</v>
      </c>
      <c r="F206" t="inlineStr">
        <is>
          <t>ÖREBRO LÄN</t>
        </is>
      </c>
      <c r="G206" t="inlineStr">
        <is>
          <t>ASKERSUND</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4428-2026</t>
        </is>
      </c>
      <c r="B207" t="inlineStr">
        <is>
          <t>avverkningsanmälan</t>
        </is>
      </c>
      <c r="C207" t="inlineStr">
        <is>
          <t>Föryngringsavverkning</t>
        </is>
      </c>
      <c r="D207" s="1" t="n">
        <v>46045</v>
      </c>
      <c r="E207" s="1" t="n">
        <v>46326</v>
      </c>
      <c r="F207" t="inlineStr">
        <is>
          <t>ÖREBRO LÄN</t>
        </is>
      </c>
      <c r="G207" t="inlineStr">
        <is>
          <t>ASKERSUND</t>
        </is>
      </c>
      <c r="H207" t="inlineStr">
        <is>
          <t>Sveaskog</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44679-2025</t>
        </is>
      </c>
      <c r="B208" t="inlineStr">
        <is>
          <t>avverkningsanmälan</t>
        </is>
      </c>
      <c r="C208" t="inlineStr">
        <is>
          <t>Föryngringsavverkning</t>
        </is>
      </c>
      <c r="D208" s="1" t="n">
        <v>45917</v>
      </c>
      <c r="E208" s="1" t="n">
        <v>46326</v>
      </c>
      <c r="F208" t="inlineStr">
        <is>
          <t>ÖREBRO LÄN</t>
        </is>
      </c>
      <c r="G208" t="inlineStr">
        <is>
          <t>ASKERSUND</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8367-2025</t>
        </is>
      </c>
      <c r="B209" t="inlineStr">
        <is>
          <t>avverkningsanmälan</t>
        </is>
      </c>
      <c r="C209" t="inlineStr">
        <is>
          <t>Föryngringsavverkning</t>
        </is>
      </c>
      <c r="D209" s="1" t="n">
        <v>45708</v>
      </c>
      <c r="E209" s="1" t="n">
        <v>46326</v>
      </c>
      <c r="F209" t="inlineStr">
        <is>
          <t>ÖREBRO LÄN</t>
        </is>
      </c>
      <c r="G209" t="inlineStr">
        <is>
          <t>ASKERSUND</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45501-2025</t>
        </is>
      </c>
      <c r="B210" t="inlineStr">
        <is>
          <t>avverkningsanmälan</t>
        </is>
      </c>
      <c r="C210" t="inlineStr">
        <is>
          <t>Föryngringsavverkning</t>
        </is>
      </c>
      <c r="D210" s="1" t="n">
        <v>45922</v>
      </c>
      <c r="E210" s="1" t="n">
        <v>46326</v>
      </c>
      <c r="F210" t="inlineStr">
        <is>
          <t>ÖREBRO LÄN</t>
        </is>
      </c>
      <c r="G210" t="inlineStr">
        <is>
          <t>ASKERSUND</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59940-2023</t>
        </is>
      </c>
      <c r="B211" t="inlineStr">
        <is>
          <t>avverkningsanmälan</t>
        </is>
      </c>
      <c r="C211" t="inlineStr">
        <is>
          <t>Föryngringsavverkning</t>
        </is>
      </c>
      <c r="D211" s="1" t="n">
        <v>45257</v>
      </c>
      <c r="E211" s="1" t="n">
        <v>46326</v>
      </c>
      <c r="F211" t="inlineStr">
        <is>
          <t>ÖREBRO LÄN</t>
        </is>
      </c>
      <c r="G211" t="inlineStr">
        <is>
          <t>ASKERSUND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43958-2024</t>
        </is>
      </c>
      <c r="B212" t="inlineStr">
        <is>
          <t>avverkningsanmälan</t>
        </is>
      </c>
      <c r="C212" t="inlineStr">
        <is>
          <t>Föryngringsavverkning</t>
        </is>
      </c>
      <c r="D212" s="1" t="n">
        <v>45572</v>
      </c>
      <c r="E212" s="1" t="n">
        <v>46326</v>
      </c>
      <c r="F212" t="inlineStr">
        <is>
          <t>ÖREBRO LÄN</t>
        </is>
      </c>
      <c r="G212" t="inlineStr">
        <is>
          <t>ASKERSUND</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14598-2025</t>
        </is>
      </c>
      <c r="B213" t="inlineStr">
        <is>
          <t>avverkningsanmälan</t>
        </is>
      </c>
      <c r="C213" t="inlineStr">
        <is>
          <t>Föryngringsavverkning</t>
        </is>
      </c>
      <c r="D213" s="1" t="n">
        <v>45742</v>
      </c>
      <c r="E213" s="1" t="n">
        <v>46326</v>
      </c>
      <c r="F213" t="inlineStr">
        <is>
          <t>ÖREBRO LÄN</t>
        </is>
      </c>
      <c r="G213" t="inlineStr">
        <is>
          <t>ASKERSUND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46616-2023</t>
        </is>
      </c>
      <c r="B214" t="inlineStr">
        <is>
          <t>avverkningsanmälan</t>
        </is>
      </c>
      <c r="C214" t="inlineStr">
        <is>
          <t>Föryngringsavverkning</t>
        </is>
      </c>
      <c r="D214" s="1" t="n">
        <v>45198</v>
      </c>
      <c r="E214" s="1" t="n">
        <v>46326</v>
      </c>
      <c r="F214" t="inlineStr">
        <is>
          <t>ÖREBRO LÄN</t>
        </is>
      </c>
      <c r="G214" t="inlineStr">
        <is>
          <t>ASKERSUND</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48612-2023</t>
        </is>
      </c>
      <c r="B215" t="inlineStr">
        <is>
          <t>avverkningsanmälan</t>
        </is>
      </c>
      <c r="C215" t="inlineStr">
        <is>
          <t>Föryngringsavverkning</t>
        </is>
      </c>
      <c r="D215" s="1" t="n">
        <v>45208</v>
      </c>
      <c r="E215" s="1" t="n">
        <v>46326</v>
      </c>
      <c r="F215" t="inlineStr">
        <is>
          <t>ÖREBRO LÄN</t>
        </is>
      </c>
      <c r="G215" t="inlineStr">
        <is>
          <t>ASKERSUND</t>
        </is>
      </c>
      <c r="H215" t="inlineStr">
        <is>
          <t>Sveaskog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47296-2025</t>
        </is>
      </c>
      <c r="B216" t="inlineStr">
        <is>
          <t>avverkningsanmälan</t>
        </is>
      </c>
      <c r="C216" t="inlineStr">
        <is>
          <t>Föryngringsavverkning</t>
        </is>
      </c>
      <c r="D216" s="1" t="n">
        <v>45930</v>
      </c>
      <c r="E216" s="1" t="n">
        <v>46326</v>
      </c>
      <c r="F216" t="inlineStr">
        <is>
          <t>ÖREBRO LÄN</t>
        </is>
      </c>
      <c r="G216" t="inlineStr">
        <is>
          <t>ASKERSUND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29522-2024</t>
        </is>
      </c>
      <c r="B217" t="inlineStr">
        <is>
          <t>avverkningsanmälan</t>
        </is>
      </c>
      <c r="C217" t="inlineStr">
        <is>
          <t>Föryngringsavverkning</t>
        </is>
      </c>
      <c r="D217" s="1" t="n">
        <v>45484</v>
      </c>
      <c r="E217" s="1" t="n">
        <v>46326</v>
      </c>
      <c r="F217" t="inlineStr">
        <is>
          <t>ÖREBRO LÄN</t>
        </is>
      </c>
      <c r="G217" t="inlineStr">
        <is>
          <t>ASKERSUND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25528-2023</t>
        </is>
      </c>
      <c r="B218" t="inlineStr">
        <is>
          <t>avverkningsanmälan</t>
        </is>
      </c>
      <c r="C218" t="inlineStr">
        <is>
          <t>Föryngringsavverkning</t>
        </is>
      </c>
      <c r="D218" s="1" t="n">
        <v>45089</v>
      </c>
      <c r="E218" s="1" t="n">
        <v>46326</v>
      </c>
      <c r="F218" t="inlineStr">
        <is>
          <t>ÖREBRO LÄN</t>
        </is>
      </c>
      <c r="G218" t="inlineStr">
        <is>
          <t>ASKERSUND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41838-2022</t>
        </is>
      </c>
      <c r="B219" t="inlineStr">
        <is>
          <t>avverkningsanmälan</t>
        </is>
      </c>
      <c r="C219" t="inlineStr">
        <is>
          <t>Föryngringsavverkning</t>
        </is>
      </c>
      <c r="D219" s="1" t="n">
        <v>44828</v>
      </c>
      <c r="E219" s="1" t="n">
        <v>46326</v>
      </c>
      <c r="F219" t="inlineStr">
        <is>
          <t>ÖREBRO LÄN</t>
        </is>
      </c>
      <c r="G219" t="inlineStr">
        <is>
          <t>ASKERSUND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50048-2022</t>
        </is>
      </c>
      <c r="B220" t="inlineStr">
        <is>
          <t>avverkningsanmälan</t>
        </is>
      </c>
      <c r="C220" t="inlineStr">
        <is>
          <t>Föryngringsavverkning</t>
        </is>
      </c>
      <c r="D220" s="1" t="n">
        <v>44865</v>
      </c>
      <c r="E220" s="1" t="n">
        <v>46326</v>
      </c>
      <c r="F220" t="inlineStr">
        <is>
          <t>ÖREBRO LÄN</t>
        </is>
      </c>
      <c r="G220" t="inlineStr">
        <is>
          <t>ASKERSUND</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48619-2025</t>
        </is>
      </c>
      <c r="B221" t="inlineStr">
        <is>
          <t>avverkningsanmälan</t>
        </is>
      </c>
      <c r="C221" t="inlineStr">
        <is>
          <t>Avverkning för att bevara och utveckla /försöksver</t>
        </is>
      </c>
      <c r="D221" s="1" t="n">
        <v>45936</v>
      </c>
      <c r="E221" s="1" t="n">
        <v>46326</v>
      </c>
      <c r="F221" t="inlineStr">
        <is>
          <t>ÖREBRO LÄN</t>
        </is>
      </c>
      <c r="G221" t="inlineStr">
        <is>
          <t>ASKERSUND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31120-2024</t>
        </is>
      </c>
      <c r="B222" t="inlineStr">
        <is>
          <t>avverkningsanmälan</t>
        </is>
      </c>
      <c r="C222" t="inlineStr">
        <is>
          <t>Föryngringsavverkning</t>
        </is>
      </c>
      <c r="D222" s="1" t="n">
        <v>45502</v>
      </c>
      <c r="E222" s="1" t="n">
        <v>46326</v>
      </c>
      <c r="F222" t="inlineStr">
        <is>
          <t>ÖREBRO LÄN</t>
        </is>
      </c>
      <c r="G222" t="inlineStr">
        <is>
          <t>ASKERSUND</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27218-2024</t>
        </is>
      </c>
      <c r="B223" t="inlineStr">
        <is>
          <t>avverkningsanmälan</t>
        </is>
      </c>
      <c r="C223" t="inlineStr">
        <is>
          <t>Föryngringsavverkning</t>
        </is>
      </c>
      <c r="D223" s="1" t="n">
        <v>45471</v>
      </c>
      <c r="E223" s="1" t="n">
        <v>46326</v>
      </c>
      <c r="F223" t="inlineStr">
        <is>
          <t>ÖREBRO LÄN</t>
        </is>
      </c>
      <c r="G223" t="inlineStr">
        <is>
          <t>ASKERSUND</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55591-2023</t>
        </is>
      </c>
      <c r="B224" t="inlineStr">
        <is>
          <t>avverkningsanmälan</t>
        </is>
      </c>
      <c r="C224" t="inlineStr">
        <is>
          <t>Avverkning för annat ändamål</t>
        </is>
      </c>
      <c r="D224" s="1" t="n">
        <v>45238</v>
      </c>
      <c r="E224" s="1" t="n">
        <v>46326</v>
      </c>
      <c r="F224" t="inlineStr">
        <is>
          <t>ÖREBRO LÄN</t>
        </is>
      </c>
      <c r="G224" t="inlineStr">
        <is>
          <t>ASKERSUND</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29229-2023</t>
        </is>
      </c>
      <c r="B225" t="inlineStr">
        <is>
          <t>avverkningsanmälan</t>
        </is>
      </c>
      <c r="C225" t="inlineStr">
        <is>
          <t>Föryngringsavverkning</t>
        </is>
      </c>
      <c r="D225" s="1" t="n">
        <v>45105</v>
      </c>
      <c r="E225" s="1" t="n">
        <v>46326</v>
      </c>
      <c r="F225" t="inlineStr">
        <is>
          <t>ÖREBRO LÄN</t>
        </is>
      </c>
      <c r="G225" t="inlineStr">
        <is>
          <t>ASKERSUND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22805-2023</t>
        </is>
      </c>
      <c r="B226" t="inlineStr">
        <is>
          <t>avverkningsanmälan</t>
        </is>
      </c>
      <c r="C226" t="inlineStr">
        <is>
          <t>Föryngringsavverkning</t>
        </is>
      </c>
      <c r="D226" s="1" t="n">
        <v>45072</v>
      </c>
      <c r="E226" s="1" t="n">
        <v>46326</v>
      </c>
      <c r="F226" t="inlineStr">
        <is>
          <t>ÖREBRO LÄN</t>
        </is>
      </c>
      <c r="G226" t="inlineStr">
        <is>
          <t>ASKERSUND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62584-2021</t>
        </is>
      </c>
      <c r="B227" t="inlineStr">
        <is>
          <t>avverkningsanmälan</t>
        </is>
      </c>
      <c r="C227" t="inlineStr">
        <is>
          <t>Föryngringsavverkning</t>
        </is>
      </c>
      <c r="D227" s="1" t="n">
        <v>44503</v>
      </c>
      <c r="E227" s="1" t="n">
        <v>46326</v>
      </c>
      <c r="F227" t="inlineStr">
        <is>
          <t>ÖREBRO LÄN</t>
        </is>
      </c>
      <c r="G227" t="inlineStr">
        <is>
          <t>ASKERSUND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49541-2023</t>
        </is>
      </c>
      <c r="B228" t="inlineStr">
        <is>
          <t>avverkningsanmälan</t>
        </is>
      </c>
      <c r="C228" t="inlineStr">
        <is>
          <t>Föryngringsavverkning</t>
        </is>
      </c>
      <c r="D228" s="1" t="n">
        <v>45211</v>
      </c>
      <c r="E228" s="1" t="n">
        <v>46326</v>
      </c>
      <c r="F228" t="inlineStr">
        <is>
          <t>ÖREBRO LÄN</t>
        </is>
      </c>
      <c r="G228" t="inlineStr">
        <is>
          <t>ASKERSUND</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29235-2023</t>
        </is>
      </c>
      <c r="B229" t="inlineStr">
        <is>
          <t>avverkningsanmälan</t>
        </is>
      </c>
      <c r="C229" t="inlineStr">
        <is>
          <t>Föryngringsavverkning</t>
        </is>
      </c>
      <c r="D229" s="1" t="n">
        <v>45105</v>
      </c>
      <c r="E229" s="1" t="n">
        <v>46326</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21055-2024</t>
        </is>
      </c>
      <c r="B230" t="inlineStr">
        <is>
          <t>avverkningsanmälan</t>
        </is>
      </c>
      <c r="C230" t="inlineStr">
        <is>
          <t>Föryngringsavverkning</t>
        </is>
      </c>
      <c r="D230" s="1" t="n">
        <v>45439</v>
      </c>
      <c r="E230" s="1" t="n">
        <v>46326</v>
      </c>
      <c r="F230" t="inlineStr">
        <is>
          <t>ÖREBRO LÄN</t>
        </is>
      </c>
      <c r="G230" t="inlineStr">
        <is>
          <t>ASKERSUND</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8988-2026</t>
        </is>
      </c>
      <c r="B231" t="inlineStr">
        <is>
          <t>avverkningsanmälan</t>
        </is>
      </c>
      <c r="C231" t="inlineStr">
        <is>
          <t>Föryngringsavverkning</t>
        </is>
      </c>
      <c r="D231" s="1" t="n">
        <v>46069</v>
      </c>
      <c r="E231" s="1" t="n">
        <v>46326</v>
      </c>
      <c r="F231" t="inlineStr">
        <is>
          <t>ÖREBRO LÄN</t>
        </is>
      </c>
      <c r="G231" t="inlineStr">
        <is>
          <t>ASKERSUND</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53286-2025</t>
        </is>
      </c>
      <c r="B232" t="inlineStr">
        <is>
          <t>avverkningsanmälan</t>
        </is>
      </c>
      <c r="C232" t="inlineStr">
        <is>
          <t>Föryngringsavverkning</t>
        </is>
      </c>
      <c r="D232" s="1" t="n">
        <v>45958</v>
      </c>
      <c r="E232" s="1" t="n">
        <v>46326</v>
      </c>
      <c r="F232" t="inlineStr">
        <is>
          <t>ÖREBRO LÄN</t>
        </is>
      </c>
      <c r="G232" t="inlineStr">
        <is>
          <t>ASKERSUND</t>
        </is>
      </c>
      <c r="H232" t="inlineStr">
        <is>
          <t>Övriga Aktiebolag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28555-2023</t>
        </is>
      </c>
      <c r="B233" t="inlineStr">
        <is>
          <t>avverkningsanmälan</t>
        </is>
      </c>
      <c r="C233" t="inlineStr">
        <is>
          <t>Föryngringsavverkning</t>
        </is>
      </c>
      <c r="D233" s="1" t="n">
        <v>45103</v>
      </c>
      <c r="E233" s="1" t="n">
        <v>46326</v>
      </c>
      <c r="F233" t="inlineStr">
        <is>
          <t>ÖREBRO LÄN</t>
        </is>
      </c>
      <c r="G233" t="inlineStr">
        <is>
          <t>ASKERSUND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8961-2026</t>
        </is>
      </c>
      <c r="B234" t="inlineStr">
        <is>
          <t>avverkningsanmälan</t>
        </is>
      </c>
      <c r="C234" t="inlineStr">
        <is>
          <t>Föryngringsavverkning</t>
        </is>
      </c>
      <c r="D234" s="1" t="n">
        <v>46069</v>
      </c>
      <c r="E234" s="1" t="n">
        <v>46326</v>
      </c>
      <c r="F234" t="inlineStr">
        <is>
          <t>ÖREBRO LÄN</t>
        </is>
      </c>
      <c r="G234" t="inlineStr">
        <is>
          <t>ASKERSUND</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8298-2022</t>
        </is>
      </c>
      <c r="B235" t="inlineStr">
        <is>
          <t>avverkningsanmälan</t>
        </is>
      </c>
      <c r="C235" t="inlineStr">
        <is>
          <t>Föryngringsavverkning</t>
        </is>
      </c>
      <c r="D235" s="1" t="n">
        <v>44610</v>
      </c>
      <c r="E235" s="1" t="n">
        <v>46326</v>
      </c>
      <c r="F235" t="inlineStr">
        <is>
          <t>ÖREBRO LÄN</t>
        </is>
      </c>
      <c r="G235" t="inlineStr">
        <is>
          <t>ASKERSUND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7374-2022</t>
        </is>
      </c>
      <c r="B236" t="inlineStr">
        <is>
          <t>avverkningsanmälan</t>
        </is>
      </c>
      <c r="C236" t="inlineStr">
        <is>
          <t>Föryngringsavverkning</t>
        </is>
      </c>
      <c r="D236" s="1" t="n">
        <v>44606</v>
      </c>
      <c r="E236" s="1" t="n">
        <v>46326</v>
      </c>
      <c r="F236" t="inlineStr">
        <is>
          <t>ÖREBRO LÄN</t>
        </is>
      </c>
      <c r="G236" t="inlineStr">
        <is>
          <t>ASKERSUND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9400-2026</t>
        </is>
      </c>
      <c r="B237" t="inlineStr">
        <is>
          <t>avverkningsanmälan</t>
        </is>
      </c>
      <c r="C237" t="inlineStr">
        <is>
          <t>Föryngringsavverkning</t>
        </is>
      </c>
      <c r="D237" s="1" t="n">
        <v>46071</v>
      </c>
      <c r="E237" s="1" t="n">
        <v>46326</v>
      </c>
      <c r="F237" t="inlineStr">
        <is>
          <t>ÖREBRO LÄN</t>
        </is>
      </c>
      <c r="G237" t="inlineStr">
        <is>
          <t>ASKERSUND</t>
        </is>
      </c>
      <c r="I237" t="n">
        <v>10.9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54169-2025</t>
        </is>
      </c>
      <c r="B238" t="inlineStr">
        <is>
          <t>avverkningsanmälan</t>
        </is>
      </c>
      <c r="C238" t="inlineStr">
        <is>
          <t>Föryngringsavverkning</t>
        </is>
      </c>
      <c r="D238" s="1" t="n">
        <v>45964</v>
      </c>
      <c r="E238" s="1" t="n">
        <v>46326</v>
      </c>
      <c r="F238" t="inlineStr">
        <is>
          <t>ÖREBRO LÄN</t>
        </is>
      </c>
      <c r="G238" t="inlineStr">
        <is>
          <t>ASKERSUND</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54170-2025</t>
        </is>
      </c>
      <c r="B239" t="inlineStr">
        <is>
          <t>avverkningsanmälan</t>
        </is>
      </c>
      <c r="C239" t="inlineStr">
        <is>
          <t>Föryngringsavverkning</t>
        </is>
      </c>
      <c r="D239" s="1" t="n">
        <v>45964</v>
      </c>
      <c r="E239" s="1" t="n">
        <v>46326</v>
      </c>
      <c r="F239" t="inlineStr">
        <is>
          <t>ÖREBRO LÄN</t>
        </is>
      </c>
      <c r="G239" t="inlineStr">
        <is>
          <t>ASKERSUND</t>
        </is>
      </c>
      <c r="H239" t="inlineStr">
        <is>
          <t>Sveaskog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64614-2021</t>
        </is>
      </c>
      <c r="B240" t="inlineStr">
        <is>
          <t>avverkningsanmälan</t>
        </is>
      </c>
      <c r="C240" t="inlineStr">
        <is>
          <t>Föryngringsavverkning</t>
        </is>
      </c>
      <c r="D240" s="1" t="n">
        <v>44511</v>
      </c>
      <c r="E240" s="1" t="n">
        <v>46326</v>
      </c>
      <c r="F240" t="inlineStr">
        <is>
          <t>ÖREBRO LÄN</t>
        </is>
      </c>
      <c r="G240" t="inlineStr">
        <is>
          <t>ASKERSUND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51897-2024</t>
        </is>
      </c>
      <c r="B241" t="inlineStr">
        <is>
          <t>avverkningsanmälan</t>
        </is>
      </c>
      <c r="C241" t="inlineStr">
        <is>
          <t>Avverkning för att bevara och utveckla /försöksver</t>
        </is>
      </c>
      <c r="D241" s="1" t="n">
        <v>45607</v>
      </c>
      <c r="E241" s="1" t="n">
        <v>46326</v>
      </c>
      <c r="F241" t="inlineStr">
        <is>
          <t>ÖREBRO LÄN</t>
        </is>
      </c>
      <c r="G241" t="inlineStr">
        <is>
          <t>ASKERSUND</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56221-2025</t>
        </is>
      </c>
      <c r="B242" t="inlineStr">
        <is>
          <t>avverkningsanmälan</t>
        </is>
      </c>
      <c r="C242" t="inlineStr">
        <is>
          <t>Föryngringsavverkning</t>
        </is>
      </c>
      <c r="D242" s="1" t="n">
        <v>45974</v>
      </c>
      <c r="E242" s="1" t="n">
        <v>46326</v>
      </c>
      <c r="F242" t="inlineStr">
        <is>
          <t>ÖREBRO LÄN</t>
        </is>
      </c>
      <c r="G242" t="inlineStr">
        <is>
          <t>ASKERSUND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11229-2026</t>
        </is>
      </c>
      <c r="B243" t="inlineStr">
        <is>
          <t>avverkningsanmälan</t>
        </is>
      </c>
      <c r="C243" t="inlineStr">
        <is>
          <t>Föryngringsavverkning</t>
        </is>
      </c>
      <c r="D243" s="1" t="n">
        <v>46080</v>
      </c>
      <c r="E243" s="1" t="n">
        <v>46326</v>
      </c>
      <c r="F243" t="inlineStr">
        <is>
          <t>ÖREBRO LÄN</t>
        </is>
      </c>
      <c r="G243" t="inlineStr">
        <is>
          <t>ASKERSUND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20184-2024</t>
        </is>
      </c>
      <c r="B244" t="inlineStr">
        <is>
          <t>avverkningsanmälan</t>
        </is>
      </c>
      <c r="C244" t="inlineStr">
        <is>
          <t>Avverkning för att bevara och utveckla /försöksver</t>
        </is>
      </c>
      <c r="D244" s="1" t="n">
        <v>45434</v>
      </c>
      <c r="E244" s="1" t="n">
        <v>46326</v>
      </c>
      <c r="F244" t="inlineStr">
        <is>
          <t>ÖREBRO LÄN</t>
        </is>
      </c>
      <c r="G244" t="inlineStr">
        <is>
          <t>ASKERSUND</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1359-2022</t>
        </is>
      </c>
      <c r="B245" t="inlineStr">
        <is>
          <t>avverkningsanmälan</t>
        </is>
      </c>
      <c r="C245" t="inlineStr">
        <is>
          <t>Föryngringsavverkning</t>
        </is>
      </c>
      <c r="D245" s="1" t="n">
        <v>44573</v>
      </c>
      <c r="E245" s="1" t="n">
        <v>46326</v>
      </c>
      <c r="F245" t="inlineStr">
        <is>
          <t>ÖREBRO LÄN</t>
        </is>
      </c>
      <c r="G245" t="inlineStr">
        <is>
          <t>ASKERSUND</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59349-2023</t>
        </is>
      </c>
      <c r="B246" t="inlineStr">
        <is>
          <t>avverkningsanmälan</t>
        </is>
      </c>
      <c r="C246" t="inlineStr">
        <is>
          <t>Föryngringsavverkning</t>
        </is>
      </c>
      <c r="D246" s="1" t="n">
        <v>45253</v>
      </c>
      <c r="E246" s="1" t="n">
        <v>46326</v>
      </c>
      <c r="F246" t="inlineStr">
        <is>
          <t>ÖREBRO LÄN</t>
        </is>
      </c>
      <c r="G246" t="inlineStr">
        <is>
          <t>ASKERSUND</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36484-2022</t>
        </is>
      </c>
      <c r="B247" t="inlineStr">
        <is>
          <t>avverkningsanmälan</t>
        </is>
      </c>
      <c r="C247" t="inlineStr">
        <is>
          <t>Föryngringsavverkning</t>
        </is>
      </c>
      <c r="D247" s="1" t="n">
        <v>44804</v>
      </c>
      <c r="E247" s="1" t="n">
        <v>46326</v>
      </c>
      <c r="F247" t="inlineStr">
        <is>
          <t>ÖREBRO LÄN</t>
        </is>
      </c>
      <c r="G247" t="inlineStr">
        <is>
          <t>ASKERSUND</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58726-2025</t>
        </is>
      </c>
      <c r="B248" t="inlineStr">
        <is>
          <t>avverkningsanmälan</t>
        </is>
      </c>
      <c r="C248" t="inlineStr">
        <is>
          <t>Föryngringsavverkning</t>
        </is>
      </c>
      <c r="D248" s="1" t="n">
        <v>45986</v>
      </c>
      <c r="E248" s="1" t="n">
        <v>46326</v>
      </c>
      <c r="F248" t="inlineStr">
        <is>
          <t>ÖREBRO LÄN</t>
        </is>
      </c>
      <c r="G248" t="inlineStr">
        <is>
          <t>ASKERSUND</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58806-2025</t>
        </is>
      </c>
      <c r="B249" t="inlineStr">
        <is>
          <t>avverkningsanmälan</t>
        </is>
      </c>
      <c r="C249" t="inlineStr">
        <is>
          <t>Föryngringsavverkning</t>
        </is>
      </c>
      <c r="D249" s="1" t="n">
        <v>45987</v>
      </c>
      <c r="E249" s="1" t="n">
        <v>46326</v>
      </c>
      <c r="F249" t="inlineStr">
        <is>
          <t>ÖREBRO LÄN</t>
        </is>
      </c>
      <c r="G249" t="inlineStr">
        <is>
          <t>ASKERSUND</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38626-2023</t>
        </is>
      </c>
      <c r="B250" t="inlineStr">
        <is>
          <t>avverkningsanmälan</t>
        </is>
      </c>
      <c r="C250" t="inlineStr">
        <is>
          <t>Föryngringsavverkning</t>
        </is>
      </c>
      <c r="D250" s="1" t="n">
        <v>45162</v>
      </c>
      <c r="E250" s="1" t="n">
        <v>46326</v>
      </c>
      <c r="F250" t="inlineStr">
        <is>
          <t>ÖREBRO LÄN</t>
        </is>
      </c>
      <c r="G250" t="inlineStr">
        <is>
          <t>ASKERSUND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26415-2024</t>
        </is>
      </c>
      <c r="B251" t="inlineStr">
        <is>
          <t>avverkningsanmälan</t>
        </is>
      </c>
      <c r="C251" t="inlineStr">
        <is>
          <t>Föryngringsavverkning</t>
        </is>
      </c>
      <c r="D251" s="1" t="n">
        <v>45469</v>
      </c>
      <c r="E251" s="1" t="n">
        <v>46326</v>
      </c>
      <c r="F251" t="inlineStr">
        <is>
          <t>ÖREBRO LÄN</t>
        </is>
      </c>
      <c r="G251" t="inlineStr">
        <is>
          <t>ASKERSUND</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60224-2025</t>
        </is>
      </c>
      <c r="B252" t="inlineStr">
        <is>
          <t>avverkningsanmälan</t>
        </is>
      </c>
      <c r="C252" t="inlineStr">
        <is>
          <t>Föryngringsavverkning</t>
        </is>
      </c>
      <c r="D252" s="1" t="n">
        <v>45994</v>
      </c>
      <c r="E252" s="1" t="n">
        <v>46326</v>
      </c>
      <c r="F252" t="inlineStr">
        <is>
          <t>ÖREBRO LÄN</t>
        </is>
      </c>
      <c r="G252" t="inlineStr">
        <is>
          <t>ASKERSUND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59530-2023</t>
        </is>
      </c>
      <c r="B253" t="inlineStr">
        <is>
          <t>avverkningsanmälan</t>
        </is>
      </c>
      <c r="C253" t="inlineStr">
        <is>
          <t>Föryngringsavverkning</t>
        </is>
      </c>
      <c r="D253" s="1" t="n">
        <v>45254</v>
      </c>
      <c r="E253" s="1" t="n">
        <v>46326</v>
      </c>
      <c r="F253" t="inlineStr">
        <is>
          <t>ÖREBRO LÄN</t>
        </is>
      </c>
      <c r="G253" t="inlineStr">
        <is>
          <t>ASKERSUND</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31973-2023</t>
        </is>
      </c>
      <c r="B254" t="inlineStr">
        <is>
          <t>avverkningsanmälan</t>
        </is>
      </c>
      <c r="C254" t="inlineStr">
        <is>
          <t>Föryngringsavverkning</t>
        </is>
      </c>
      <c r="D254" s="1" t="n">
        <v>45107</v>
      </c>
      <c r="E254" s="1" t="n">
        <v>46326</v>
      </c>
      <c r="F254" t="inlineStr">
        <is>
          <t>ÖREBRO LÄN</t>
        </is>
      </c>
      <c r="G254" t="inlineStr">
        <is>
          <t>ASKERSUND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52072-2024</t>
        </is>
      </c>
      <c r="B255" t="inlineStr">
        <is>
          <t>avverkningsanmälan</t>
        </is>
      </c>
      <c r="C255" t="inlineStr">
        <is>
          <t>Föryngringsavverkning</t>
        </is>
      </c>
      <c r="D255" s="1" t="n">
        <v>45608</v>
      </c>
      <c r="E255" s="1" t="n">
        <v>46326</v>
      </c>
      <c r="F255" t="inlineStr">
        <is>
          <t>ÖREBRO LÄN</t>
        </is>
      </c>
      <c r="G255" t="inlineStr">
        <is>
          <t>ASKERSUND</t>
        </is>
      </c>
      <c r="H255" t="inlineStr">
        <is>
          <t>Sveaskog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7256-2023</t>
        </is>
      </c>
      <c r="B256" t="inlineStr">
        <is>
          <t>avverkningsanmälan</t>
        </is>
      </c>
      <c r="C256" t="inlineStr">
        <is>
          <t>Föryngringsavverkning</t>
        </is>
      </c>
      <c r="D256" s="1" t="n">
        <v>44970</v>
      </c>
      <c r="E256" s="1" t="n">
        <v>46326</v>
      </c>
      <c r="F256" t="inlineStr">
        <is>
          <t>ÖREBRO LÄN</t>
        </is>
      </c>
      <c r="G256" t="inlineStr">
        <is>
          <t>ASKERSUND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61533-2025</t>
        </is>
      </c>
      <c r="B257" t="inlineStr">
        <is>
          <t>avverkningsanmälan</t>
        </is>
      </c>
      <c r="C257" t="inlineStr">
        <is>
          <t>Föryngringsavverkning</t>
        </is>
      </c>
      <c r="D257" s="1" t="n">
        <v>46001</v>
      </c>
      <c r="E257" s="1" t="n">
        <v>46326</v>
      </c>
      <c r="F257" t="inlineStr">
        <is>
          <t>ÖREBRO LÄN</t>
        </is>
      </c>
      <c r="G257" t="inlineStr">
        <is>
          <t>ASKERSUND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13648-2026</t>
        </is>
      </c>
      <c r="B258" t="inlineStr">
        <is>
          <t>avverkningsanmälan</t>
        </is>
      </c>
      <c r="C258" t="inlineStr">
        <is>
          <t>Föryngringsavverkning</t>
        </is>
      </c>
      <c r="D258" s="1" t="n">
        <v>46095</v>
      </c>
      <c r="E258" s="1" t="n">
        <v>46326</v>
      </c>
      <c r="F258" t="inlineStr">
        <is>
          <t>ÖREBRO LÄN</t>
        </is>
      </c>
      <c r="G258" t="inlineStr">
        <is>
          <t>ASKERSUND</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50101-2024</t>
        </is>
      </c>
      <c r="B259" t="inlineStr">
        <is>
          <t>avverkningsanmälan</t>
        </is>
      </c>
      <c r="C259" t="inlineStr">
        <is>
          <t>Föryngringsavverkning</t>
        </is>
      </c>
      <c r="D259" s="1" t="n">
        <v>45599</v>
      </c>
      <c r="E259" s="1" t="n">
        <v>46326</v>
      </c>
      <c r="F259" t="inlineStr">
        <is>
          <t>ÖREBRO LÄN</t>
        </is>
      </c>
      <c r="G259" t="inlineStr">
        <is>
          <t>ASKERSUND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14499-2022</t>
        </is>
      </c>
      <c r="B260" t="inlineStr">
        <is>
          <t>avverkningsanmälan</t>
        </is>
      </c>
      <c r="C260" t="inlineStr">
        <is>
          <t>Föryngringsavverkning</t>
        </is>
      </c>
      <c r="D260" s="1" t="n">
        <v>44655</v>
      </c>
      <c r="E260" s="1" t="n">
        <v>46326</v>
      </c>
      <c r="F260" t="inlineStr">
        <is>
          <t>ÖREBRO LÄN</t>
        </is>
      </c>
      <c r="G260" t="inlineStr">
        <is>
          <t>ASKERSUND</t>
        </is>
      </c>
      <c r="H260" t="inlineStr">
        <is>
          <t>Sveaskog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47344-2024</t>
        </is>
      </c>
      <c r="B261" t="inlineStr">
        <is>
          <t>avverkningsanmälan</t>
        </is>
      </c>
      <c r="C261" t="inlineStr">
        <is>
          <t>Föryngringsavverkning</t>
        </is>
      </c>
      <c r="D261" s="1" t="n">
        <v>45587</v>
      </c>
      <c r="E261" s="1" t="n">
        <v>46326</v>
      </c>
      <c r="F261" t="inlineStr">
        <is>
          <t>ÖREBRO LÄN</t>
        </is>
      </c>
      <c r="G261" t="inlineStr">
        <is>
          <t>ASKERSUND</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13902-2024</t>
        </is>
      </c>
      <c r="B262" t="inlineStr">
        <is>
          <t>avverkningsanmälan</t>
        </is>
      </c>
      <c r="C262" t="inlineStr">
        <is>
          <t>Föryngringsavverkning</t>
        </is>
      </c>
      <c r="D262" s="1" t="n">
        <v>45391</v>
      </c>
      <c r="E262" s="1" t="n">
        <v>46326</v>
      </c>
      <c r="F262" t="inlineStr">
        <is>
          <t>ÖREBRO LÄN</t>
        </is>
      </c>
      <c r="G262" t="inlineStr">
        <is>
          <t>ASKERSUND</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1437-2024</t>
        </is>
      </c>
      <c r="B263" t="inlineStr">
        <is>
          <t>avverkningsanmälan</t>
        </is>
      </c>
      <c r="C263" t="inlineStr">
        <is>
          <t>Föryngringsavverkning</t>
        </is>
      </c>
      <c r="D263" s="1" t="n">
        <v>45303</v>
      </c>
      <c r="E263" s="1" t="n">
        <v>46326</v>
      </c>
      <c r="F263" t="inlineStr">
        <is>
          <t>ÖREBRO LÄN</t>
        </is>
      </c>
      <c r="G263" t="inlineStr">
        <is>
          <t>ASKERSUND</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1360-2022</t>
        </is>
      </c>
      <c r="B264" t="inlineStr">
        <is>
          <t>avverkningsanmälan</t>
        </is>
      </c>
      <c r="C264" t="inlineStr">
        <is>
          <t>Föryngringsavverkning</t>
        </is>
      </c>
      <c r="D264" s="1" t="n">
        <v>44573</v>
      </c>
      <c r="E264" s="1" t="n">
        <v>46326</v>
      </c>
      <c r="F264" t="inlineStr">
        <is>
          <t>ÖREBRO LÄN</t>
        </is>
      </c>
      <c r="G264" t="inlineStr">
        <is>
          <t>ASKERSUND</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63356-2025</t>
        </is>
      </c>
      <c r="B265" t="inlineStr">
        <is>
          <t>avverkningsanmälan</t>
        </is>
      </c>
      <c r="C265" t="inlineStr">
        <is>
          <t>Föryngringsavverkning</t>
        </is>
      </c>
      <c r="D265" s="1" t="n">
        <v>46010</v>
      </c>
      <c r="E265" s="1" t="n">
        <v>46326</v>
      </c>
      <c r="F265" t="inlineStr">
        <is>
          <t>ÖREBRO LÄN</t>
        </is>
      </c>
      <c r="G265" t="inlineStr">
        <is>
          <t>ASKERSUND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4467-2024</t>
        </is>
      </c>
      <c r="B266" t="inlineStr">
        <is>
          <t>avverkningsanmälan</t>
        </is>
      </c>
      <c r="C266" t="inlineStr">
        <is>
          <t>Föryngringsavverkning</t>
        </is>
      </c>
      <c r="D266" s="1" t="n">
        <v>45327</v>
      </c>
      <c r="E266" s="1" t="n">
        <v>46326</v>
      </c>
      <c r="F266" t="inlineStr">
        <is>
          <t>ÖREBRO LÄN</t>
        </is>
      </c>
      <c r="G266" t="inlineStr">
        <is>
          <t>ASKERSUND</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63318-2025</t>
        </is>
      </c>
      <c r="B267" t="inlineStr">
        <is>
          <t>avverkningsanmälan</t>
        </is>
      </c>
      <c r="C267" t="inlineStr">
        <is>
          <t>Föryngringsavverkning</t>
        </is>
      </c>
      <c r="D267" s="1" t="n">
        <v>46010</v>
      </c>
      <c r="E267" s="1" t="n">
        <v>46326</v>
      </c>
      <c r="F267" t="inlineStr">
        <is>
          <t>ÖREBRO LÄN</t>
        </is>
      </c>
      <c r="G267" t="inlineStr">
        <is>
          <t>ASKERSUND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34512-2024</t>
        </is>
      </c>
      <c r="B268" t="inlineStr">
        <is>
          <t>avverkningsanmälan</t>
        </is>
      </c>
      <c r="C268" t="inlineStr">
        <is>
          <t>Avverkning för att bevara och utveckla /försöksver</t>
        </is>
      </c>
      <c r="D268" s="1" t="n">
        <v>45525</v>
      </c>
      <c r="E268" s="1" t="n">
        <v>46326</v>
      </c>
      <c r="F268" t="inlineStr">
        <is>
          <t>ÖREBRO LÄN</t>
        </is>
      </c>
      <c r="G268" t="inlineStr">
        <is>
          <t>ASKERSUND</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19997-2022</t>
        </is>
      </c>
      <c r="B269" t="inlineStr">
        <is>
          <t>avverkningsanmälan</t>
        </is>
      </c>
      <c r="C269" t="inlineStr">
        <is>
          <t>Föryngringsavverkning</t>
        </is>
      </c>
      <c r="D269" s="1" t="n">
        <v>44697</v>
      </c>
      <c r="E269" s="1" t="n">
        <v>46326</v>
      </c>
      <c r="F269" t="inlineStr">
        <is>
          <t>ÖREBRO LÄN</t>
        </is>
      </c>
      <c r="G269" t="inlineStr">
        <is>
          <t>ASKERSUND</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21448-2024</t>
        </is>
      </c>
      <c r="B270" t="inlineStr">
        <is>
          <t>avverkningsanmälan</t>
        </is>
      </c>
      <c r="C270" t="inlineStr">
        <is>
          <t>Avverkning för annat ändamål</t>
        </is>
      </c>
      <c r="D270" s="1" t="n">
        <v>45441</v>
      </c>
      <c r="E270" s="1" t="n">
        <v>46326</v>
      </c>
      <c r="F270" t="inlineStr">
        <is>
          <t>ÖREBRO LÄN</t>
        </is>
      </c>
      <c r="G270" t="inlineStr">
        <is>
          <t>ASKERSUND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16638-2026</t>
        </is>
      </c>
      <c r="B271" t="inlineStr">
        <is>
          <t>avverkningsanmälan</t>
        </is>
      </c>
      <c r="C271" t="inlineStr">
        <is>
          <t>Föryngringsavverkning</t>
        </is>
      </c>
      <c r="D271" s="1" t="n">
        <v>46112</v>
      </c>
      <c r="E271" s="1" t="n">
        <v>46326</v>
      </c>
      <c r="F271" t="inlineStr">
        <is>
          <t>ÖREBRO LÄN</t>
        </is>
      </c>
      <c r="G271" t="inlineStr">
        <is>
          <t>ASKERSUND</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57645-2023</t>
        </is>
      </c>
      <c r="B272" t="inlineStr">
        <is>
          <t>avverkningsanmälan</t>
        </is>
      </c>
      <c r="C272" t="inlineStr">
        <is>
          <t>Föryngringsavverkning</t>
        </is>
      </c>
      <c r="D272" s="1" t="n">
        <v>45246</v>
      </c>
      <c r="E272" s="1" t="n">
        <v>46326</v>
      </c>
      <c r="F272" t="inlineStr">
        <is>
          <t>ÖREBRO LÄN</t>
        </is>
      </c>
      <c r="G272" t="inlineStr">
        <is>
          <t>ASKERSUND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16633-2026</t>
        </is>
      </c>
      <c r="B273" t="inlineStr">
        <is>
          <t>avverkningsanmälan</t>
        </is>
      </c>
      <c r="C273" t="inlineStr">
        <is>
          <t>Föryngringsavverkning</t>
        </is>
      </c>
      <c r="D273" s="1" t="n">
        <v>46112</v>
      </c>
      <c r="E273" s="1" t="n">
        <v>46326</v>
      </c>
      <c r="F273" t="inlineStr">
        <is>
          <t>ÖREBRO LÄN</t>
        </is>
      </c>
      <c r="G273" t="inlineStr">
        <is>
          <t>ASKERSUND</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16639-2026</t>
        </is>
      </c>
      <c r="B274" t="inlineStr">
        <is>
          <t>avverkningsanmälan</t>
        </is>
      </c>
      <c r="C274" t="inlineStr">
        <is>
          <t>Föryngringsavverkning</t>
        </is>
      </c>
      <c r="D274" s="1" t="n">
        <v>46112</v>
      </c>
      <c r="E274" s="1" t="n">
        <v>46326</v>
      </c>
      <c r="F274" t="inlineStr">
        <is>
          <t>ÖREBRO LÄN</t>
        </is>
      </c>
      <c r="G274" t="inlineStr">
        <is>
          <t>ASKERSUND</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15625-2022</t>
        </is>
      </c>
      <c r="B275" t="inlineStr">
        <is>
          <t>avverkningsanmälan</t>
        </is>
      </c>
      <c r="C275" t="inlineStr">
        <is>
          <t>Föryngringsavverkning</t>
        </is>
      </c>
      <c r="D275" s="1" t="n">
        <v>44662</v>
      </c>
      <c r="E275" s="1" t="n">
        <v>46326</v>
      </c>
      <c r="F275" t="inlineStr">
        <is>
          <t>ÖREBRO LÄN</t>
        </is>
      </c>
      <c r="G275" t="inlineStr">
        <is>
          <t>ASKERSUND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17503-2026</t>
        </is>
      </c>
      <c r="B276" t="inlineStr">
        <is>
          <t>avverkningsanmälan</t>
        </is>
      </c>
      <c r="C276" t="inlineStr">
        <is>
          <t>Föryngringsavverkning</t>
        </is>
      </c>
      <c r="D276" s="1" t="n">
        <v>46120</v>
      </c>
      <c r="E276" s="1" t="n">
        <v>46326</v>
      </c>
      <c r="F276" t="inlineStr">
        <is>
          <t>ÖREBRO LÄN</t>
        </is>
      </c>
      <c r="G276" t="inlineStr">
        <is>
          <t>ASKERSUND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18981-2024</t>
        </is>
      </c>
      <c r="B277" t="inlineStr">
        <is>
          <t>avverkningsanmälan</t>
        </is>
      </c>
      <c r="C277" t="inlineStr">
        <is>
          <t>Föryngringsavverkning</t>
        </is>
      </c>
      <c r="D277" s="1" t="n">
        <v>45427</v>
      </c>
      <c r="E277" s="1" t="n">
        <v>46326</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37404-2022</t>
        </is>
      </c>
      <c r="B278" t="inlineStr">
        <is>
          <t>avverkningsanmälan</t>
        </is>
      </c>
      <c r="C278" t="inlineStr">
        <is>
          <t>Föryngringsavverkning</t>
        </is>
      </c>
      <c r="D278" s="1" t="n">
        <v>44808</v>
      </c>
      <c r="E278" s="1" t="n">
        <v>46326</v>
      </c>
      <c r="F278" t="inlineStr">
        <is>
          <t>ÖREBRO LÄN</t>
        </is>
      </c>
      <c r="G278" t="inlineStr">
        <is>
          <t>ASKERSUND</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46619-2023</t>
        </is>
      </c>
      <c r="B279" t="inlineStr">
        <is>
          <t>avverkningsanmälan</t>
        </is>
      </c>
      <c r="C279" t="inlineStr">
        <is>
          <t>Föryngringsavverkning</t>
        </is>
      </c>
      <c r="D279" s="1" t="n">
        <v>45198</v>
      </c>
      <c r="E279" s="1" t="n">
        <v>46326</v>
      </c>
      <c r="F279" t="inlineStr">
        <is>
          <t>ÖREBRO LÄN</t>
        </is>
      </c>
      <c r="G279" t="inlineStr">
        <is>
          <t>ASKERSUND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11969-2023</t>
        </is>
      </c>
      <c r="B280" t="inlineStr">
        <is>
          <t>avverkningsanmälan</t>
        </is>
      </c>
      <c r="C280" t="inlineStr">
        <is>
          <t>Föryngringsavverkning</t>
        </is>
      </c>
      <c r="D280" s="1" t="n">
        <v>44995</v>
      </c>
      <c r="E280" s="1" t="n">
        <v>46326</v>
      </c>
      <c r="F280" t="inlineStr">
        <is>
          <t>ÖREBRO LÄN</t>
        </is>
      </c>
      <c r="G280" t="inlineStr">
        <is>
          <t>ASKERSUND</t>
        </is>
      </c>
      <c r="H280" t="inlineStr">
        <is>
          <t>Sveaskog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23914-2024</t>
        </is>
      </c>
      <c r="B281" t="inlineStr">
        <is>
          <t>avverkningsanmälan</t>
        </is>
      </c>
      <c r="C281" t="inlineStr">
        <is>
          <t>Föryngringsavverkning</t>
        </is>
      </c>
      <c r="D281" s="1" t="n">
        <v>45455</v>
      </c>
      <c r="E281" s="1" t="n">
        <v>46326</v>
      </c>
      <c r="F281" t="inlineStr">
        <is>
          <t>ÖREBRO LÄN</t>
        </is>
      </c>
      <c r="G281" t="inlineStr">
        <is>
          <t>ASKERSUND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30351-2025</t>
        </is>
      </c>
      <c r="B282" t="inlineStr">
        <is>
          <t>avverkningsanmälan</t>
        </is>
      </c>
      <c r="C282" t="inlineStr">
        <is>
          <t>Föryngringsavverkning</t>
        </is>
      </c>
      <c r="D282" s="1" t="n">
        <v>45827</v>
      </c>
      <c r="E282" s="1" t="n">
        <v>46326</v>
      </c>
      <c r="F282" t="inlineStr">
        <is>
          <t>ÖREBRO LÄN</t>
        </is>
      </c>
      <c r="G282" t="inlineStr">
        <is>
          <t>ASKERSUND</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11637-2024</t>
        </is>
      </c>
      <c r="B283" t="inlineStr">
        <is>
          <t>avverkningsanmälan</t>
        </is>
      </c>
      <c r="C283" t="inlineStr">
        <is>
          <t>Föryngringsavverkning</t>
        </is>
      </c>
      <c r="D283" s="1" t="n">
        <v>45373</v>
      </c>
      <c r="E283" s="1" t="n">
        <v>46326</v>
      </c>
      <c r="F283" t="inlineStr">
        <is>
          <t>ÖREBRO LÄN</t>
        </is>
      </c>
      <c r="G283" t="inlineStr">
        <is>
          <t>ASKERSUND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9327-2025</t>
        </is>
      </c>
      <c r="B284" t="inlineStr">
        <is>
          <t>avverkningsanmälan</t>
        </is>
      </c>
      <c r="C284" t="inlineStr">
        <is>
          <t>Föryngringsavverkning</t>
        </is>
      </c>
      <c r="D284" s="1" t="n">
        <v>45714</v>
      </c>
      <c r="E284" s="1" t="n">
        <v>46326</v>
      </c>
      <c r="F284" t="inlineStr">
        <is>
          <t>ÖREBRO LÄN</t>
        </is>
      </c>
      <c r="G284" t="inlineStr">
        <is>
          <t>ASKERSUND</t>
        </is>
      </c>
      <c r="I284" t="n">
        <v>17.4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15806-2024</t>
        </is>
      </c>
      <c r="B285" t="inlineStr">
        <is>
          <t>avverkningsanmälan</t>
        </is>
      </c>
      <c r="C285" t="inlineStr">
        <is>
          <t>Föryngringsavverkning</t>
        </is>
      </c>
      <c r="D285" s="1" t="n">
        <v>45404</v>
      </c>
      <c r="E285" s="1" t="n">
        <v>46326</v>
      </c>
      <c r="F285" t="inlineStr">
        <is>
          <t>ÖREBRO LÄN</t>
        </is>
      </c>
      <c r="G285" t="inlineStr">
        <is>
          <t>ASKERSUND</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16642-2023</t>
        </is>
      </c>
      <c r="B286" t="inlineStr">
        <is>
          <t>avverkningsanmälan</t>
        </is>
      </c>
      <c r="C286" t="inlineStr">
        <is>
          <t>Föryngringsavverkning</t>
        </is>
      </c>
      <c r="D286" s="1" t="n">
        <v>45030</v>
      </c>
      <c r="E286" s="1" t="n">
        <v>46326</v>
      </c>
      <c r="F286" t="inlineStr">
        <is>
          <t>ÖREBRO LÄN</t>
        </is>
      </c>
      <c r="G286" t="inlineStr">
        <is>
          <t>ASKERSUND</t>
        </is>
      </c>
      <c r="I286" t="n">
        <v>7.9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16952-2022</t>
        </is>
      </c>
      <c r="B287" t="inlineStr">
        <is>
          <t>avverkningsanmälan</t>
        </is>
      </c>
      <c r="C287" t="inlineStr">
        <is>
          <t>Föryngringsavverkning</t>
        </is>
      </c>
      <c r="D287" s="1" t="n">
        <v>44676</v>
      </c>
      <c r="E287" s="1" t="n">
        <v>46326</v>
      </c>
      <c r="F287" t="inlineStr">
        <is>
          <t>ÖREBRO LÄN</t>
        </is>
      </c>
      <c r="G287" t="inlineStr">
        <is>
          <t>ASKERSUND</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38359-2022</t>
        </is>
      </c>
      <c r="B288" t="inlineStr">
        <is>
          <t>avverkningsanmälan</t>
        </is>
      </c>
      <c r="C288" t="inlineStr">
        <is>
          <t>Föryngringsavverkning</t>
        </is>
      </c>
      <c r="D288" s="1" t="n">
        <v>44812</v>
      </c>
      <c r="E288" s="1" t="n">
        <v>46326</v>
      </c>
      <c r="F288" t="inlineStr">
        <is>
          <t>ÖREBRO LÄN</t>
        </is>
      </c>
      <c r="G288" t="inlineStr">
        <is>
          <t>ASKERSUND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60141-2022</t>
        </is>
      </c>
      <c r="B289" t="inlineStr">
        <is>
          <t>avverkningsanmälan</t>
        </is>
      </c>
      <c r="C289" t="inlineStr">
        <is>
          <t>Föryngringsavverkning</t>
        </is>
      </c>
      <c r="D289" s="1" t="n">
        <v>44909</v>
      </c>
      <c r="E289" s="1" t="n">
        <v>46326</v>
      </c>
      <c r="F289" t="inlineStr">
        <is>
          <t>ÖREBRO LÄN</t>
        </is>
      </c>
      <c r="G289" t="inlineStr">
        <is>
          <t>ASKERSUND</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29401-2022</t>
        </is>
      </c>
      <c r="B290" t="inlineStr">
        <is>
          <t>avverkningsanmälan</t>
        </is>
      </c>
      <c r="C290" t="inlineStr">
        <is>
          <t>Föryngringsavverkning</t>
        </is>
      </c>
      <c r="D290" s="1" t="n">
        <v>44753</v>
      </c>
      <c r="E290" s="1" t="n">
        <v>46326</v>
      </c>
      <c r="F290" t="inlineStr">
        <is>
          <t>ÖREBRO LÄN</t>
        </is>
      </c>
      <c r="G290" t="inlineStr">
        <is>
          <t>ASKERSUND</t>
        </is>
      </c>
      <c r="H290" t="inlineStr">
        <is>
          <t>Övriga Aktiebolag</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22802-2023</t>
        </is>
      </c>
      <c r="B291" t="inlineStr">
        <is>
          <t>avverkningsanmälan</t>
        </is>
      </c>
      <c r="C291" t="inlineStr">
        <is>
          <t>Föryngringsavverkning</t>
        </is>
      </c>
      <c r="D291" s="1" t="n">
        <v>45072</v>
      </c>
      <c r="E291" s="1" t="n">
        <v>46326</v>
      </c>
      <c r="F291" t="inlineStr">
        <is>
          <t>ÖREBRO LÄN</t>
        </is>
      </c>
      <c r="G291" t="inlineStr">
        <is>
          <t>ASKERSUND</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1119-2026</t>
        </is>
      </c>
      <c r="B292" t="inlineStr">
        <is>
          <t>avverkningsanmälan</t>
        </is>
      </c>
      <c r="C292" t="inlineStr">
        <is>
          <t>Föryngringsavverkning</t>
        </is>
      </c>
      <c r="D292" s="1" t="n">
        <v>46030</v>
      </c>
      <c r="E292" s="1" t="n">
        <v>46326</v>
      </c>
      <c r="F292" t="inlineStr">
        <is>
          <t>ÖREBRO LÄN</t>
        </is>
      </c>
      <c r="G292" t="inlineStr">
        <is>
          <t>ASKERSUND</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12418-2023</t>
        </is>
      </c>
      <c r="B293" t="inlineStr">
        <is>
          <t>avverkningsanmälan</t>
        </is>
      </c>
      <c r="C293" t="inlineStr">
        <is>
          <t>Föryngringsavverkning</t>
        </is>
      </c>
      <c r="D293" s="1" t="n">
        <v>44999</v>
      </c>
      <c r="E293" s="1" t="n">
        <v>46326</v>
      </c>
      <c r="F293" t="inlineStr">
        <is>
          <t>ÖREBRO LÄN</t>
        </is>
      </c>
      <c r="G293" t="inlineStr">
        <is>
          <t>ASKERSUND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12423-2023</t>
        </is>
      </c>
      <c r="B294" t="inlineStr">
        <is>
          <t>avverkningsanmälan</t>
        </is>
      </c>
      <c r="C294" t="inlineStr">
        <is>
          <t>Föryngringsavverkning</t>
        </is>
      </c>
      <c r="D294" s="1" t="n">
        <v>44999</v>
      </c>
      <c r="E294" s="1" t="n">
        <v>46326</v>
      </c>
      <c r="F294" t="inlineStr">
        <is>
          <t>ÖREBRO LÄN</t>
        </is>
      </c>
      <c r="G294" t="inlineStr">
        <is>
          <t>ASKERSUND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15976-2023</t>
        </is>
      </c>
      <c r="B295" t="inlineStr">
        <is>
          <t>avverkningsanmälan</t>
        </is>
      </c>
      <c r="C295" t="inlineStr">
        <is>
          <t>Föryngringsavverkning</t>
        </is>
      </c>
      <c r="D295" s="1" t="n">
        <v>45022</v>
      </c>
      <c r="E295" s="1" t="n">
        <v>46326</v>
      </c>
      <c r="F295" t="inlineStr">
        <is>
          <t>ÖREBRO LÄN</t>
        </is>
      </c>
      <c r="G295" t="inlineStr">
        <is>
          <t>ASKERSUND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5228-2023</t>
        </is>
      </c>
      <c r="B296" t="inlineStr">
        <is>
          <t>avverkningsanmälan</t>
        </is>
      </c>
      <c r="C296" t="inlineStr">
        <is>
          <t>Föryngringsavverkning</t>
        </is>
      </c>
      <c r="D296" s="1" t="n">
        <v>44959</v>
      </c>
      <c r="E296" s="1" t="n">
        <v>46326</v>
      </c>
      <c r="F296" t="inlineStr">
        <is>
          <t>ÖREBRO LÄN</t>
        </is>
      </c>
      <c r="G296" t="inlineStr">
        <is>
          <t>ASKERSUND</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56476-2025</t>
        </is>
      </c>
      <c r="B297" t="inlineStr">
        <is>
          <t>avverkningsanmälan</t>
        </is>
      </c>
      <c r="C297" t="inlineStr">
        <is>
          <t>Föryngringsavverkning</t>
        </is>
      </c>
      <c r="D297" s="1" t="n">
        <v>45975</v>
      </c>
      <c r="E297" s="1" t="n">
        <v>46326</v>
      </c>
      <c r="F297" t="inlineStr">
        <is>
          <t>ÖREBRO LÄN</t>
        </is>
      </c>
      <c r="G297" t="inlineStr">
        <is>
          <t>ASKERSUND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54162-2025</t>
        </is>
      </c>
      <c r="B298" t="inlineStr">
        <is>
          <t>avverkningsanmälan</t>
        </is>
      </c>
      <c r="C298" t="inlineStr">
        <is>
          <t>Föryngringsavverkning</t>
        </is>
      </c>
      <c r="D298" s="1" t="n">
        <v>45964</v>
      </c>
      <c r="E298" s="1" t="n">
        <v>46326</v>
      </c>
      <c r="F298" t="inlineStr">
        <is>
          <t>ÖREBRO LÄN</t>
        </is>
      </c>
      <c r="G298" t="inlineStr">
        <is>
          <t>ASKERSUND</t>
        </is>
      </c>
      <c r="H298" t="inlineStr">
        <is>
          <t>Sveaskog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52434-2024</t>
        </is>
      </c>
      <c r="B299" t="inlineStr">
        <is>
          <t>avverkningsanmälan</t>
        </is>
      </c>
      <c r="C299" t="inlineStr">
        <is>
          <t>Föryngringsavverkning</t>
        </is>
      </c>
      <c r="D299" s="1" t="n">
        <v>45609</v>
      </c>
      <c r="E299" s="1" t="n">
        <v>46326</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36031-2024</t>
        </is>
      </c>
      <c r="B300" t="inlineStr">
        <is>
          <t>avverkningsanmälan</t>
        </is>
      </c>
      <c r="C300" t="inlineStr">
        <is>
          <t>Avverkning för att bevara och utveckla /försöksver</t>
        </is>
      </c>
      <c r="D300" s="1" t="n">
        <v>45533</v>
      </c>
      <c r="E300" s="1" t="n">
        <v>46326</v>
      </c>
      <c r="F300" t="inlineStr">
        <is>
          <t>ÖREBRO LÄN</t>
        </is>
      </c>
      <c r="G300" t="inlineStr">
        <is>
          <t>ASKERSUND</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16631-2024</t>
        </is>
      </c>
      <c r="B301" t="inlineStr">
        <is>
          <t>avverkningsanmälan</t>
        </is>
      </c>
      <c r="C301" t="inlineStr">
        <is>
          <t>Föryngringsavverkning</t>
        </is>
      </c>
      <c r="D301" s="1" t="n">
        <v>45408</v>
      </c>
      <c r="E301" s="1" t="n">
        <v>46326</v>
      </c>
      <c r="F301" t="inlineStr">
        <is>
          <t>ÖREBRO LÄN</t>
        </is>
      </c>
      <c r="G301" t="inlineStr">
        <is>
          <t>ASKERSUND</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4779-2023</t>
        </is>
      </c>
      <c r="B302" t="inlineStr">
        <is>
          <t>avverkningsanmälan</t>
        </is>
      </c>
      <c r="C302" t="inlineStr">
        <is>
          <t>Föryngringsavverkning</t>
        </is>
      </c>
      <c r="D302" s="1" t="n">
        <v>44957</v>
      </c>
      <c r="E302" s="1" t="n">
        <v>46326</v>
      </c>
      <c r="F302" t="inlineStr">
        <is>
          <t>ÖREBRO LÄN</t>
        </is>
      </c>
      <c r="G302" t="inlineStr">
        <is>
          <t>ASKERSUND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44161-2023</t>
        </is>
      </c>
      <c r="B303" t="inlineStr">
        <is>
          <t>avverkningsanmälan</t>
        </is>
      </c>
      <c r="C303" t="inlineStr">
        <is>
          <t>Föryngringsavverkning</t>
        </is>
      </c>
      <c r="D303" s="1" t="n">
        <v>45188</v>
      </c>
      <c r="E303" s="1" t="n">
        <v>46326</v>
      </c>
      <c r="F303" t="inlineStr">
        <is>
          <t>ÖREBRO LÄN</t>
        </is>
      </c>
      <c r="G303" t="inlineStr">
        <is>
          <t>ASKERSUND</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31664-2025</t>
        </is>
      </c>
      <c r="B304" t="inlineStr">
        <is>
          <t>avverkningsanmälan</t>
        </is>
      </c>
      <c r="C304" t="inlineStr">
        <is>
          <t>Föryngringsavverkning</t>
        </is>
      </c>
      <c r="D304" s="1" t="n">
        <v>45834</v>
      </c>
      <c r="E304" s="1" t="n">
        <v>46326</v>
      </c>
      <c r="F304" t="inlineStr">
        <is>
          <t>ÖREBRO LÄN</t>
        </is>
      </c>
      <c r="G304" t="inlineStr">
        <is>
          <t>ASKERSUND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24078-2024</t>
        </is>
      </c>
      <c r="B305" t="inlineStr">
        <is>
          <t>avverkningsanmälan</t>
        </is>
      </c>
      <c r="C305" t="inlineStr">
        <is>
          <t>Föryngringsavverkning</t>
        </is>
      </c>
      <c r="D305" s="1" t="n">
        <v>45456</v>
      </c>
      <c r="E305" s="1" t="n">
        <v>46326</v>
      </c>
      <c r="F305" t="inlineStr">
        <is>
          <t>ÖREBRO LÄN</t>
        </is>
      </c>
      <c r="G305" t="inlineStr">
        <is>
          <t>ASKERSUND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12421-2023</t>
        </is>
      </c>
      <c r="B306" t="inlineStr">
        <is>
          <t>avverkningsanmälan</t>
        </is>
      </c>
      <c r="C306" t="inlineStr">
        <is>
          <t>Föryngringsavverkning</t>
        </is>
      </c>
      <c r="D306" s="1" t="n">
        <v>44999</v>
      </c>
      <c r="E306" s="1" t="n">
        <v>46326</v>
      </c>
      <c r="F306" t="inlineStr">
        <is>
          <t>ÖREBRO LÄN</t>
        </is>
      </c>
      <c r="G306" t="inlineStr">
        <is>
          <t>ASKERSUND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1004-2024</t>
        </is>
      </c>
      <c r="B307" t="inlineStr">
        <is>
          <t>avverkningsanmälan</t>
        </is>
      </c>
      <c r="C307" t="inlineStr">
        <is>
          <t>Föryngringsavverkning</t>
        </is>
      </c>
      <c r="D307" s="1" t="n">
        <v>45301</v>
      </c>
      <c r="E307" s="1" t="n">
        <v>46326</v>
      </c>
      <c r="F307" t="inlineStr">
        <is>
          <t>ÖREBRO LÄN</t>
        </is>
      </c>
      <c r="G307" t="inlineStr">
        <is>
          <t>ASKERSUND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49111-2025</t>
        </is>
      </c>
      <c r="B308" t="inlineStr">
        <is>
          <t>avverkningsanmälan</t>
        </is>
      </c>
      <c r="C308" t="inlineStr">
        <is>
          <t>Föryngringsavverkning</t>
        </is>
      </c>
      <c r="D308" s="1" t="n">
        <v>45937</v>
      </c>
      <c r="E308" s="1" t="n">
        <v>46326</v>
      </c>
      <c r="F308" t="inlineStr">
        <is>
          <t>ÖREBRO LÄN</t>
        </is>
      </c>
      <c r="G308" t="inlineStr">
        <is>
          <t>ASKERSUND</t>
        </is>
      </c>
      <c r="H308" t="inlineStr">
        <is>
          <t>Sveaskog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2282-2022</t>
        </is>
      </c>
      <c r="B309" t="inlineStr">
        <is>
          <t>avverkningsanmälan</t>
        </is>
      </c>
      <c r="C309" t="inlineStr">
        <is>
          <t>Föryngringsavverkning</t>
        </is>
      </c>
      <c r="D309" s="1" t="n">
        <v>44578</v>
      </c>
      <c r="E309" s="1" t="n">
        <v>46326</v>
      </c>
      <c r="F309" t="inlineStr">
        <is>
          <t>ÖREBRO LÄN</t>
        </is>
      </c>
      <c r="G309" t="inlineStr">
        <is>
          <t>ASKERSUND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48389-2025</t>
        </is>
      </c>
      <c r="B310" t="inlineStr">
        <is>
          <t>avverkningsanmälan</t>
        </is>
      </c>
      <c r="C310" t="inlineStr">
        <is>
          <t>Föryngringsavverkning</t>
        </is>
      </c>
      <c r="D310" s="1" t="n">
        <v>45933</v>
      </c>
      <c r="E310" s="1" t="n">
        <v>46326</v>
      </c>
      <c r="F310" t="inlineStr">
        <is>
          <t>ÖREBRO LÄN</t>
        </is>
      </c>
      <c r="G310" t="inlineStr">
        <is>
          <t>ASKERSUND</t>
        </is>
      </c>
      <c r="H310" t="inlineStr">
        <is>
          <t>Sveaskog</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31512-2023</t>
        </is>
      </c>
      <c r="B311" t="inlineStr">
        <is>
          <t>avverkningsanmälan</t>
        </is>
      </c>
      <c r="C311" t="inlineStr">
        <is>
          <t>Föryngringsavverkning</t>
        </is>
      </c>
      <c r="D311" s="1" t="n">
        <v>45115</v>
      </c>
      <c r="E311" s="1" t="n">
        <v>46326</v>
      </c>
      <c r="F311" t="inlineStr">
        <is>
          <t>ÖREBRO LÄN</t>
        </is>
      </c>
      <c r="G311" t="inlineStr">
        <is>
          <t>ASKERSUND</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42281-2025</t>
        </is>
      </c>
      <c r="B312" t="inlineStr">
        <is>
          <t>avverkningsanmälan</t>
        </is>
      </c>
      <c r="C312" t="inlineStr">
        <is>
          <t>Föryngringsavverkning</t>
        </is>
      </c>
      <c r="D312" s="1" t="n">
        <v>45904</v>
      </c>
      <c r="E312" s="1" t="n">
        <v>46326</v>
      </c>
      <c r="F312" t="inlineStr">
        <is>
          <t>ÖREBRO LÄN</t>
        </is>
      </c>
      <c r="G312" t="inlineStr">
        <is>
          <t>ASKERSUND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56033-2022</t>
        </is>
      </c>
      <c r="B313" t="inlineStr">
        <is>
          <t>avverkningsanmälan</t>
        </is>
      </c>
      <c r="C313" t="inlineStr">
        <is>
          <t>Föryngringsavverkning</t>
        </is>
      </c>
      <c r="D313" s="1" t="n">
        <v>44889</v>
      </c>
      <c r="E313" s="1" t="n">
        <v>46326</v>
      </c>
      <c r="F313" t="inlineStr">
        <is>
          <t>ÖREBRO LÄN</t>
        </is>
      </c>
      <c r="G313" t="inlineStr">
        <is>
          <t>ASKERSUND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52786-2023</t>
        </is>
      </c>
      <c r="B314" t="inlineStr">
        <is>
          <t>avverkningsanmälan</t>
        </is>
      </c>
      <c r="C314" t="inlineStr">
        <is>
          <t>Föryngringsavverkning</t>
        </is>
      </c>
      <c r="D314" s="1" t="n">
        <v>45226</v>
      </c>
      <c r="E314" s="1" t="n">
        <v>46326</v>
      </c>
      <c r="F314" t="inlineStr">
        <is>
          <t>ÖREBRO LÄN</t>
        </is>
      </c>
      <c r="G314" t="inlineStr">
        <is>
          <t>ASKERSUND</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918-2025</t>
        </is>
      </c>
      <c r="B315" t="inlineStr">
        <is>
          <t>avverkningsanmälan</t>
        </is>
      </c>
      <c r="C315" t="inlineStr">
        <is>
          <t>Föryngringsavverkning</t>
        </is>
      </c>
      <c r="D315" s="1" t="n">
        <v>45664</v>
      </c>
      <c r="E315" s="1" t="n">
        <v>46326</v>
      </c>
      <c r="F315" t="inlineStr">
        <is>
          <t>ÖREBRO LÄN</t>
        </is>
      </c>
      <c r="G315" t="inlineStr">
        <is>
          <t>ASKERSUND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920-2025</t>
        </is>
      </c>
      <c r="B316" t="inlineStr">
        <is>
          <t>avverkningsanmälan</t>
        </is>
      </c>
      <c r="C316" t="inlineStr">
        <is>
          <t>Föryngringsavverkning</t>
        </is>
      </c>
      <c r="D316" s="1" t="n">
        <v>45664</v>
      </c>
      <c r="E316" s="1" t="n">
        <v>46326</v>
      </c>
      <c r="F316" t="inlineStr">
        <is>
          <t>ÖREBRO LÄN</t>
        </is>
      </c>
      <c r="G316" t="inlineStr">
        <is>
          <t>ASKERSUND</t>
        </is>
      </c>
      <c r="I316" t="n">
        <v>12.9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8047-2025</t>
        </is>
      </c>
      <c r="B317" t="inlineStr">
        <is>
          <t>avverkningsanmälan</t>
        </is>
      </c>
      <c r="C317" t="inlineStr">
        <is>
          <t>Föryngringsavverkning</t>
        </is>
      </c>
      <c r="D317" s="1" t="n">
        <v>45707</v>
      </c>
      <c r="E317" s="1" t="n">
        <v>46326</v>
      </c>
      <c r="F317" t="inlineStr">
        <is>
          <t>ÖREBRO LÄN</t>
        </is>
      </c>
      <c r="G317" t="inlineStr">
        <is>
          <t>ASKERSUND</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10076-2024</t>
        </is>
      </c>
      <c r="B318" t="inlineStr">
        <is>
          <t>avverkningsanmälan</t>
        </is>
      </c>
      <c r="C318" t="inlineStr">
        <is>
          <t>Föryngringsavverkning</t>
        </is>
      </c>
      <c r="D318" s="1" t="n">
        <v>45364</v>
      </c>
      <c r="E318" s="1" t="n">
        <v>46326</v>
      </c>
      <c r="F318" t="inlineStr">
        <is>
          <t>ÖREBRO LÄN</t>
        </is>
      </c>
      <c r="G318" t="inlineStr">
        <is>
          <t>ASKERSUND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38572-2023</t>
        </is>
      </c>
      <c r="B319" t="inlineStr">
        <is>
          <t>avverkningsanmälan</t>
        </is>
      </c>
      <c r="C319" t="inlineStr">
        <is>
          <t>Föryngringsavverkning</t>
        </is>
      </c>
      <c r="D319" s="1" t="n">
        <v>45162</v>
      </c>
      <c r="E319" s="1" t="n">
        <v>46326</v>
      </c>
      <c r="F319" t="inlineStr">
        <is>
          <t>ÖREBRO LÄN</t>
        </is>
      </c>
      <c r="G319" t="inlineStr">
        <is>
          <t>ASKERSUND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3883-2024</t>
        </is>
      </c>
      <c r="B320" t="inlineStr">
        <is>
          <t>avverkningsanmälan</t>
        </is>
      </c>
      <c r="C320" t="inlineStr">
        <is>
          <t>Föryngringsavverkning</t>
        </is>
      </c>
      <c r="D320" s="1" t="n">
        <v>45322</v>
      </c>
      <c r="E320" s="1" t="n">
        <v>46326</v>
      </c>
      <c r="F320" t="inlineStr">
        <is>
          <t>ÖREBRO LÄN</t>
        </is>
      </c>
      <c r="G320" t="inlineStr">
        <is>
          <t>ASKERSUND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20916-2026</t>
        </is>
      </c>
      <c r="B321" t="inlineStr">
        <is>
          <t>avverkningsanmälan</t>
        </is>
      </c>
      <c r="C321" t="inlineStr">
        <is>
          <t>Föryngringsavverkning</t>
        </is>
      </c>
      <c r="D321" s="1" t="n">
        <v>46142</v>
      </c>
      <c r="E321" s="1" t="n">
        <v>46326</v>
      </c>
      <c r="F321" t="inlineStr">
        <is>
          <t>ÖREBRO LÄN</t>
        </is>
      </c>
      <c r="G321" t="inlineStr">
        <is>
          <t>ASKERSUND</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20902-2026</t>
        </is>
      </c>
      <c r="B322" t="inlineStr">
        <is>
          <t>avverkningsanmälan</t>
        </is>
      </c>
      <c r="C322" t="inlineStr">
        <is>
          <t>Föryngringsavverkning</t>
        </is>
      </c>
      <c r="D322" s="1" t="n">
        <v>46142</v>
      </c>
      <c r="E322" s="1" t="n">
        <v>46326</v>
      </c>
      <c r="F322" t="inlineStr">
        <is>
          <t>ÖREBRO LÄN</t>
        </is>
      </c>
      <c r="G322" t="inlineStr">
        <is>
          <t>ASKERSUND</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20918-2026</t>
        </is>
      </c>
      <c r="B323" t="inlineStr">
        <is>
          <t>avverkningsanmälan</t>
        </is>
      </c>
      <c r="C323" t="inlineStr">
        <is>
          <t>Föryngringsavverkning</t>
        </is>
      </c>
      <c r="D323" s="1" t="n">
        <v>46142</v>
      </c>
      <c r="E323" s="1" t="n">
        <v>46326</v>
      </c>
      <c r="F323" t="inlineStr">
        <is>
          <t>ÖREBRO LÄN</t>
        </is>
      </c>
      <c r="G323" t="inlineStr">
        <is>
          <t>ASKERSUND</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20893-2026</t>
        </is>
      </c>
      <c r="B324" t="inlineStr">
        <is>
          <t>avverkningsanmälan</t>
        </is>
      </c>
      <c r="C324" t="inlineStr">
        <is>
          <t>Föryngringsavverkning</t>
        </is>
      </c>
      <c r="D324" s="1" t="n">
        <v>46142</v>
      </c>
      <c r="E324" s="1" t="n">
        <v>46326</v>
      </c>
      <c r="F324" t="inlineStr">
        <is>
          <t>ÖREBRO LÄN</t>
        </is>
      </c>
      <c r="G324" t="inlineStr">
        <is>
          <t>ASKERSUND</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28692-2022</t>
        </is>
      </c>
      <c r="B325" t="inlineStr">
        <is>
          <t>avverkningsanmälan</t>
        </is>
      </c>
      <c r="C325" t="inlineStr">
        <is>
          <t>Föryngringsavverkning</t>
        </is>
      </c>
      <c r="D325" s="1" t="n">
        <v>44748</v>
      </c>
      <c r="E325" s="1" t="n">
        <v>46326</v>
      </c>
      <c r="F325" t="inlineStr">
        <is>
          <t>ÖREBRO LÄN</t>
        </is>
      </c>
      <c r="G325" t="inlineStr">
        <is>
          <t>ASKERSUND</t>
        </is>
      </c>
      <c r="I325" t="n">
        <v>10.5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61189-2022</t>
        </is>
      </c>
      <c r="B326" t="inlineStr">
        <is>
          <t>avverkningsanmälan</t>
        </is>
      </c>
      <c r="C326" t="inlineStr">
        <is>
          <t>Föryngringsavverkning</t>
        </is>
      </c>
      <c r="D326" s="1" t="n">
        <v>44915</v>
      </c>
      <c r="E326" s="1" t="n">
        <v>46326</v>
      </c>
      <c r="F326" t="inlineStr">
        <is>
          <t>ÖREBRO LÄN</t>
        </is>
      </c>
      <c r="G326" t="inlineStr">
        <is>
          <t>ASKERSUND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25963-2022</t>
        </is>
      </c>
      <c r="B327" t="inlineStr">
        <is>
          <t>avverkningsanmälan</t>
        </is>
      </c>
      <c r="C327" t="inlineStr">
        <is>
          <t>Föryngringsavverkning</t>
        </is>
      </c>
      <c r="D327" s="1" t="n">
        <v>44734</v>
      </c>
      <c r="E327" s="1" t="n">
        <v>46326</v>
      </c>
      <c r="F327" t="inlineStr">
        <is>
          <t>ÖREBRO LÄN</t>
        </is>
      </c>
      <c r="G327" t="inlineStr">
        <is>
          <t>ASKERSUND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32038-2024</t>
        </is>
      </c>
      <c r="B328" t="inlineStr">
        <is>
          <t>avverkningsanmälan</t>
        </is>
      </c>
      <c r="C328" t="inlineStr">
        <is>
          <t>Föryngringsavverkning</t>
        </is>
      </c>
      <c r="D328" s="1" t="n">
        <v>45510</v>
      </c>
      <c r="E328" s="1" t="n">
        <v>46326</v>
      </c>
      <c r="F328" t="inlineStr">
        <is>
          <t>ÖREBRO LÄN</t>
        </is>
      </c>
      <c r="G328" t="inlineStr">
        <is>
          <t>ASKERSUND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22999-2025</t>
        </is>
      </c>
      <c r="B329" t="inlineStr">
        <is>
          <t>avverkningsanmälan</t>
        </is>
      </c>
      <c r="C329" t="inlineStr">
        <is>
          <t>Föryngringsavverkning</t>
        </is>
      </c>
      <c r="D329" s="1" t="n">
        <v>45790</v>
      </c>
      <c r="E329" s="1" t="n">
        <v>46326</v>
      </c>
      <c r="F329" t="inlineStr">
        <is>
          <t>ÖREBRO LÄN</t>
        </is>
      </c>
      <c r="G329" t="inlineStr">
        <is>
          <t>ASKERSUND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27428-2024</t>
        </is>
      </c>
      <c r="B330" t="inlineStr">
        <is>
          <t>avverkningsanmälan</t>
        </is>
      </c>
      <c r="C330" t="inlineStr">
        <is>
          <t>Föryngringsavverkning</t>
        </is>
      </c>
      <c r="D330" s="1" t="n">
        <v>45473</v>
      </c>
      <c r="E330" s="1" t="n">
        <v>46326</v>
      </c>
      <c r="F330" t="inlineStr">
        <is>
          <t>ÖREBRO LÄN</t>
        </is>
      </c>
      <c r="G330" t="inlineStr">
        <is>
          <t>ASKERSUND</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26662-2022</t>
        </is>
      </c>
      <c r="B331" t="inlineStr">
        <is>
          <t>avverkningsanmälan</t>
        </is>
      </c>
      <c r="C331" t="inlineStr">
        <is>
          <t>Föryngringsavverkning</t>
        </is>
      </c>
      <c r="D331" s="1" t="n">
        <v>44739</v>
      </c>
      <c r="E331" s="1" t="n">
        <v>46326</v>
      </c>
      <c r="F331" t="inlineStr">
        <is>
          <t>ÖREBRO LÄN</t>
        </is>
      </c>
      <c r="G331" t="inlineStr">
        <is>
          <t>ASKERSUND</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40587-2025</t>
        </is>
      </c>
      <c r="B332" t="inlineStr">
        <is>
          <t>avverkningsanmälan</t>
        </is>
      </c>
      <c r="C332" t="inlineStr">
        <is>
          <t>Föryngringsavverkning</t>
        </is>
      </c>
      <c r="D332" s="1" t="n">
        <v>45896</v>
      </c>
      <c r="E332" s="1" t="n">
        <v>46326</v>
      </c>
      <c r="F332" t="inlineStr">
        <is>
          <t>ÖREBRO LÄN</t>
        </is>
      </c>
      <c r="G332" t="inlineStr">
        <is>
          <t>ASKERSUND</t>
        </is>
      </c>
      <c r="H332" t="inlineStr">
        <is>
          <t>Kyrkan</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54153-2025</t>
        </is>
      </c>
      <c r="B333" t="inlineStr">
        <is>
          <t>avverkningsanmälan</t>
        </is>
      </c>
      <c r="C333" t="inlineStr">
        <is>
          <t>Föryngringsavverkning</t>
        </is>
      </c>
      <c r="D333" s="1" t="n">
        <v>45964</v>
      </c>
      <c r="E333" s="1" t="n">
        <v>46326</v>
      </c>
      <c r="F333" t="inlineStr">
        <is>
          <t>ÖREBRO LÄN</t>
        </is>
      </c>
      <c r="G333" t="inlineStr">
        <is>
          <t>ASKERSUND</t>
        </is>
      </c>
      <c r="H333" t="inlineStr">
        <is>
          <t>Sveaskog</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1345-2024</t>
        </is>
      </c>
      <c r="B334" t="inlineStr">
        <is>
          <t>avverkningsanmälan</t>
        </is>
      </c>
      <c r="C334" t="inlineStr">
        <is>
          <t>Föryngringsavverkning</t>
        </is>
      </c>
      <c r="D334" s="1" t="n">
        <v>45303</v>
      </c>
      <c r="E334" s="1" t="n">
        <v>46326</v>
      </c>
      <c r="F334" t="inlineStr">
        <is>
          <t>ÖREBRO LÄN</t>
        </is>
      </c>
      <c r="G334" t="inlineStr">
        <is>
          <t>ASKERSUND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18409-2023</t>
        </is>
      </c>
      <c r="B335" t="inlineStr">
        <is>
          <t>avverkningsanmälan</t>
        </is>
      </c>
      <c r="C335" t="inlineStr">
        <is>
          <t>Föryngringsavverkning</t>
        </is>
      </c>
      <c r="D335" s="1" t="n">
        <v>45042</v>
      </c>
      <c r="E335" s="1" t="n">
        <v>46326</v>
      </c>
      <c r="F335" t="inlineStr">
        <is>
          <t>ÖREBRO LÄN</t>
        </is>
      </c>
      <c r="G335" t="inlineStr">
        <is>
          <t>ASKERSUND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22317-2026</t>
        </is>
      </c>
      <c r="B336" t="inlineStr">
        <is>
          <t>avverkningsanmälan</t>
        </is>
      </c>
      <c r="C336" t="inlineStr">
        <is>
          <t>Föryngringsavverkning</t>
        </is>
      </c>
      <c r="D336" s="1" t="n">
        <v>46154</v>
      </c>
      <c r="E336" s="1" t="n">
        <v>46326</v>
      </c>
      <c r="F336" t="inlineStr">
        <is>
          <t>ÖREBRO LÄN</t>
        </is>
      </c>
      <c r="G336" t="inlineStr">
        <is>
          <t>ASKERSUND</t>
        </is>
      </c>
      <c r="H336" t="inlineStr">
        <is>
          <t>Sveaskog</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34501-2024</t>
        </is>
      </c>
      <c r="B337" t="inlineStr">
        <is>
          <t>avverkningsanmälan</t>
        </is>
      </c>
      <c r="C337" t="inlineStr">
        <is>
          <t>Föryngringsavverkning</t>
        </is>
      </c>
      <c r="D337" s="1" t="n">
        <v>45525</v>
      </c>
      <c r="E337" s="1" t="n">
        <v>46326</v>
      </c>
      <c r="F337" t="inlineStr">
        <is>
          <t>ÖREBRO LÄN</t>
        </is>
      </c>
      <c r="G337" t="inlineStr">
        <is>
          <t>ASKERSUND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65068-2023</t>
        </is>
      </c>
      <c r="B338" t="inlineStr">
        <is>
          <t>avverkningsanmälan</t>
        </is>
      </c>
      <c r="C338" t="inlineStr">
        <is>
          <t>Föryngringsavverkning</t>
        </is>
      </c>
      <c r="D338" s="1" t="n">
        <v>45285</v>
      </c>
      <c r="E338" s="1" t="n">
        <v>46326</v>
      </c>
      <c r="F338" t="inlineStr">
        <is>
          <t>ÖREBRO LÄN</t>
        </is>
      </c>
      <c r="G338" t="inlineStr">
        <is>
          <t>ASKERSUND</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22769-2026</t>
        </is>
      </c>
      <c r="B339" t="inlineStr">
        <is>
          <t>avverkningsanmälan</t>
        </is>
      </c>
      <c r="C339" t="inlineStr">
        <is>
          <t>Föryngringsavverkning</t>
        </is>
      </c>
      <c r="D339" s="1" t="n">
        <v>46157</v>
      </c>
      <c r="E339" s="1" t="n">
        <v>46326</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29131-2024</t>
        </is>
      </c>
      <c r="B340" t="inlineStr">
        <is>
          <t>avverkningsanmälan</t>
        </is>
      </c>
      <c r="C340" t="inlineStr">
        <is>
          <t>Föryngringsavverkning</t>
        </is>
      </c>
      <c r="D340" s="1" t="n">
        <v>45481</v>
      </c>
      <c r="E340" s="1" t="n">
        <v>46326</v>
      </c>
      <c r="F340" t="inlineStr">
        <is>
          <t>ÖREBRO LÄN</t>
        </is>
      </c>
      <c r="G340" t="inlineStr">
        <is>
          <t>ASKERSUND</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50599-2023</t>
        </is>
      </c>
      <c r="B341" t="inlineStr">
        <is>
          <t>avverkningsanmälan</t>
        </is>
      </c>
      <c r="C341" t="inlineStr">
        <is>
          <t>Föryngringsavverkning</t>
        </is>
      </c>
      <c r="D341" s="1" t="n">
        <v>45217</v>
      </c>
      <c r="E341" s="1" t="n">
        <v>46326</v>
      </c>
      <c r="F341" t="inlineStr">
        <is>
          <t>ÖREBRO LÄN</t>
        </is>
      </c>
      <c r="G341" t="inlineStr">
        <is>
          <t>ASKERSUND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7371-2022</t>
        </is>
      </c>
      <c r="B342" t="inlineStr">
        <is>
          <t>avverkningsanmälan</t>
        </is>
      </c>
      <c r="C342" t="inlineStr">
        <is>
          <t>Föryngringsavverkning</t>
        </is>
      </c>
      <c r="D342" s="1" t="n">
        <v>44606</v>
      </c>
      <c r="E342" s="1" t="n">
        <v>46326</v>
      </c>
      <c r="F342" t="inlineStr">
        <is>
          <t>ÖREBRO LÄN</t>
        </is>
      </c>
      <c r="G342" t="inlineStr">
        <is>
          <t>ASKERSUND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13046-2024</t>
        </is>
      </c>
      <c r="B343" t="inlineStr">
        <is>
          <t>avverkningsanmälan</t>
        </is>
      </c>
      <c r="C343" t="inlineStr">
        <is>
          <t>Föryngringsavverkning</t>
        </is>
      </c>
      <c r="D343" s="1" t="n">
        <v>45385</v>
      </c>
      <c r="E343" s="1" t="n">
        <v>46326</v>
      </c>
      <c r="F343" t="inlineStr">
        <is>
          <t>ÖREBRO LÄN</t>
        </is>
      </c>
      <c r="G343" t="inlineStr">
        <is>
          <t>ASKERSUND</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23558-2026</t>
        </is>
      </c>
      <c r="B344" t="inlineStr">
        <is>
          <t>avverkningsanmälan</t>
        </is>
      </c>
      <c r="C344" t="inlineStr">
        <is>
          <t>Föryngringsavverkning</t>
        </is>
      </c>
      <c r="D344" s="1" t="n">
        <v>46163</v>
      </c>
      <c r="E344" s="1" t="n">
        <v>46326</v>
      </c>
      <c r="F344" t="inlineStr">
        <is>
          <t>ÖREBRO LÄN</t>
        </is>
      </c>
      <c r="G344" t="inlineStr">
        <is>
          <t>ASKERSUND</t>
        </is>
      </c>
      <c r="H344" t="inlineStr">
        <is>
          <t>Övriga Aktiebolag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23577-2026</t>
        </is>
      </c>
      <c r="B345" t="inlineStr">
        <is>
          <t>avverkningsanmälan</t>
        </is>
      </c>
      <c r="C345" t="inlineStr">
        <is>
          <t>Föryngringsavverkning</t>
        </is>
      </c>
      <c r="D345" s="1" t="n">
        <v>46163</v>
      </c>
      <c r="E345" s="1" t="n">
        <v>46326</v>
      </c>
      <c r="F345" t="inlineStr">
        <is>
          <t>ÖREBRO LÄN</t>
        </is>
      </c>
      <c r="G345" t="inlineStr">
        <is>
          <t>ASKERSUND</t>
        </is>
      </c>
      <c r="H345" t="inlineStr">
        <is>
          <t>Övriga Aktiebolag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22198-2026</t>
        </is>
      </c>
      <c r="B346" t="inlineStr">
        <is>
          <t>avverkningsanmälan</t>
        </is>
      </c>
      <c r="C346" t="inlineStr">
        <is>
          <t>Föryngringsavverkning</t>
        </is>
      </c>
      <c r="D346" s="1" t="n">
        <v>46153</v>
      </c>
      <c r="E346" s="1" t="n">
        <v>46326</v>
      </c>
      <c r="F346" t="inlineStr">
        <is>
          <t>ÖREBRO LÄN</t>
        </is>
      </c>
      <c r="G346" t="inlineStr">
        <is>
          <t>ASKERSUND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33660-2023</t>
        </is>
      </c>
      <c r="B347" t="inlineStr">
        <is>
          <t>avverkningsanmälan</t>
        </is>
      </c>
      <c r="C347" t="inlineStr">
        <is>
          <t>Föryngringsavverkning</t>
        </is>
      </c>
      <c r="D347" s="1" t="n">
        <v>45132</v>
      </c>
      <c r="E347" s="1" t="n">
        <v>46326</v>
      </c>
      <c r="F347" t="inlineStr">
        <is>
          <t>ÖREBRO LÄN</t>
        </is>
      </c>
      <c r="G347" t="inlineStr">
        <is>
          <t>ASKERSUND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23579-2026</t>
        </is>
      </c>
      <c r="B348" t="inlineStr">
        <is>
          <t>avverkningsanmälan</t>
        </is>
      </c>
      <c r="C348" t="inlineStr">
        <is>
          <t>Föryngringsavverkning</t>
        </is>
      </c>
      <c r="D348" s="1" t="n">
        <v>46163</v>
      </c>
      <c r="E348" s="1" t="n">
        <v>46326</v>
      </c>
      <c r="F348" t="inlineStr">
        <is>
          <t>ÖREBRO LÄN</t>
        </is>
      </c>
      <c r="G348" t="inlineStr">
        <is>
          <t>ASKERSUND</t>
        </is>
      </c>
      <c r="H348" t="inlineStr">
        <is>
          <t>Övriga Aktiebolag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5518-2022</t>
        </is>
      </c>
      <c r="B349" t="inlineStr">
        <is>
          <t>avverkningsanmälan</t>
        </is>
      </c>
      <c r="C349" t="inlineStr">
        <is>
          <t>Föryngringsavverkning</t>
        </is>
      </c>
      <c r="D349" s="1" t="n">
        <v>44595</v>
      </c>
      <c r="E349" s="1" t="n">
        <v>46326</v>
      </c>
      <c r="F349" t="inlineStr">
        <is>
          <t>ÖREBRO LÄN</t>
        </is>
      </c>
      <c r="G349" t="inlineStr">
        <is>
          <t>ASKERSUND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28819-2023</t>
        </is>
      </c>
      <c r="B350" t="inlineStr">
        <is>
          <t>avverkningsanmälan</t>
        </is>
      </c>
      <c r="C350" t="inlineStr">
        <is>
          <t>Föryngringsavverkning</t>
        </is>
      </c>
      <c r="D350" s="1" t="n">
        <v>45104</v>
      </c>
      <c r="E350" s="1" t="n">
        <v>46326</v>
      </c>
      <c r="F350" t="inlineStr">
        <is>
          <t>ÖREBRO LÄN</t>
        </is>
      </c>
      <c r="G350" t="inlineStr">
        <is>
          <t>ASKERSUND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28897-2023</t>
        </is>
      </c>
      <c r="B351" t="inlineStr">
        <is>
          <t>avverkningsanmälan</t>
        </is>
      </c>
      <c r="C351" t="inlineStr">
        <is>
          <t>Föryngringsavverkning</t>
        </is>
      </c>
      <c r="D351" s="1" t="n">
        <v>45104</v>
      </c>
      <c r="E351" s="1" t="n">
        <v>46326</v>
      </c>
      <c r="F351" t="inlineStr">
        <is>
          <t>ÖREBRO LÄN</t>
        </is>
      </c>
      <c r="G351" t="inlineStr">
        <is>
          <t>ASKERSUND</t>
        </is>
      </c>
      <c r="I351" t="n">
        <v>9.300000000000001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62550-2025</t>
        </is>
      </c>
      <c r="B352" t="inlineStr">
        <is>
          <t>avverkningsanmälan</t>
        </is>
      </c>
      <c r="C352" t="inlineStr">
        <is>
          <t>Föryngringsavverkning</t>
        </is>
      </c>
      <c r="D352" s="1" t="n">
        <v>46007</v>
      </c>
      <c r="E352" s="1" t="n">
        <v>46326</v>
      </c>
      <c r="F352" t="inlineStr">
        <is>
          <t>ÖREBRO LÄN</t>
        </is>
      </c>
      <c r="G352" t="inlineStr">
        <is>
          <t>ASKERSUND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7182-2026</t>
        </is>
      </c>
      <c r="B353" t="inlineStr">
        <is>
          <t>avverkningsanmälan</t>
        </is>
      </c>
      <c r="C353" t="inlineStr">
        <is>
          <t>Föryngringsavverkning</t>
        </is>
      </c>
      <c r="D353" s="1" t="n">
        <v>46058</v>
      </c>
      <c r="E353" s="1" t="n">
        <v>46326</v>
      </c>
      <c r="F353" t="inlineStr">
        <is>
          <t>ÖREBRO LÄN</t>
        </is>
      </c>
      <c r="G353" t="inlineStr">
        <is>
          <t>ASKERSUND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43830-2024</t>
        </is>
      </c>
      <c r="B354" t="inlineStr">
        <is>
          <t>avverkningsanmälan</t>
        </is>
      </c>
      <c r="C354" t="inlineStr">
        <is>
          <t>Föryngringsavverkning</t>
        </is>
      </c>
      <c r="D354" s="1" t="n">
        <v>45572</v>
      </c>
      <c r="E354" s="1" t="n">
        <v>46326</v>
      </c>
      <c r="F354" t="inlineStr">
        <is>
          <t>ÖREBRO LÄN</t>
        </is>
      </c>
      <c r="G354" t="inlineStr">
        <is>
          <t>ASKERSUND</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24505-2026</t>
        </is>
      </c>
      <c r="B355" t="inlineStr">
        <is>
          <t>avverkningsanmälan</t>
        </is>
      </c>
      <c r="C355" t="inlineStr">
        <is>
          <t>Föryngringsavverkning</t>
        </is>
      </c>
      <c r="D355" s="1" t="n">
        <v>46170</v>
      </c>
      <c r="E355" s="1" t="n">
        <v>46326</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24577-2026</t>
        </is>
      </c>
      <c r="B356" t="inlineStr">
        <is>
          <t>avverkningsanmälan</t>
        </is>
      </c>
      <c r="C356" t="inlineStr">
        <is>
          <t>Föryngringsavverkning</t>
        </is>
      </c>
      <c r="D356" s="1" t="n">
        <v>46170</v>
      </c>
      <c r="E356" s="1" t="n">
        <v>46326</v>
      </c>
      <c r="F356" t="inlineStr">
        <is>
          <t>ÖREBRO LÄN</t>
        </is>
      </c>
      <c r="G356" t="inlineStr">
        <is>
          <t>ASKERSUND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59560-2022</t>
        </is>
      </c>
      <c r="B357" t="inlineStr">
        <is>
          <t>avverkningsanmälan</t>
        </is>
      </c>
      <c r="C357" t="inlineStr">
        <is>
          <t>Föryngringsavverkning</t>
        </is>
      </c>
      <c r="D357" s="1" t="n">
        <v>44907</v>
      </c>
      <c r="E357" s="1" t="n">
        <v>46326</v>
      </c>
      <c r="F357" t="inlineStr">
        <is>
          <t>ÖREBRO LÄN</t>
        </is>
      </c>
      <c r="G357" t="inlineStr">
        <is>
          <t>ASKERSUND</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25017-2026</t>
        </is>
      </c>
      <c r="B358" t="inlineStr">
        <is>
          <t>avverkningsanmälan</t>
        </is>
      </c>
      <c r="C358" t="inlineStr">
        <is>
          <t>Föryngringsavverkning</t>
        </is>
      </c>
      <c r="D358" s="1" t="n">
        <v>46174</v>
      </c>
      <c r="E358" s="1" t="n">
        <v>46326</v>
      </c>
      <c r="F358" t="inlineStr">
        <is>
          <t>ÖREBRO LÄN</t>
        </is>
      </c>
      <c r="G358" t="inlineStr">
        <is>
          <t>ASKERSUND</t>
        </is>
      </c>
      <c r="H358" t="inlineStr">
        <is>
          <t>Sveaskog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25019-2026</t>
        </is>
      </c>
      <c r="B359" t="inlineStr">
        <is>
          <t>avverkningsanmälan</t>
        </is>
      </c>
      <c r="C359" t="inlineStr">
        <is>
          <t>Föryngringsavverkning</t>
        </is>
      </c>
      <c r="D359" s="1" t="n">
        <v>46174</v>
      </c>
      <c r="E359" s="1" t="n">
        <v>46326</v>
      </c>
      <c r="F359" t="inlineStr">
        <is>
          <t>ÖREBRO LÄN</t>
        </is>
      </c>
      <c r="G359" t="inlineStr">
        <is>
          <t>ASKERSUND</t>
        </is>
      </c>
      <c r="H359" t="inlineStr">
        <is>
          <t>Sveaskog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30610-2024</t>
        </is>
      </c>
      <c r="B360" t="inlineStr">
        <is>
          <t>avverkningsanmälan</t>
        </is>
      </c>
      <c r="C360" t="inlineStr">
        <is>
          <t>Föryngringsavverkning</t>
        </is>
      </c>
      <c r="D360" s="1" t="n">
        <v>45495</v>
      </c>
      <c r="E360" s="1" t="n">
        <v>46326</v>
      </c>
      <c r="F360" t="inlineStr">
        <is>
          <t>ÖREBRO LÄN</t>
        </is>
      </c>
      <c r="G360" t="inlineStr">
        <is>
          <t>ASKERSUND</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26412-2024</t>
        </is>
      </c>
      <c r="B361" t="inlineStr">
        <is>
          <t>avverkningsanmälan</t>
        </is>
      </c>
      <c r="C361" t="inlineStr">
        <is>
          <t>Föryngringsavverkning</t>
        </is>
      </c>
      <c r="D361" s="1" t="n">
        <v>45469</v>
      </c>
      <c r="E361" s="1" t="n">
        <v>46326</v>
      </c>
      <c r="F361" t="inlineStr">
        <is>
          <t>ÖREBRO LÄN</t>
        </is>
      </c>
      <c r="G361" t="inlineStr">
        <is>
          <t>ASKERSUND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32215-2024</t>
        </is>
      </c>
      <c r="B362" t="inlineStr">
        <is>
          <t>avverkningsanmälan</t>
        </is>
      </c>
      <c r="C362" t="inlineStr">
        <is>
          <t>Föryngringsavverkning</t>
        </is>
      </c>
      <c r="D362" s="1" t="n">
        <v>45511</v>
      </c>
      <c r="E362" s="1" t="n">
        <v>46326</v>
      </c>
      <c r="F362" t="inlineStr">
        <is>
          <t>ÖREBRO LÄN</t>
        </is>
      </c>
      <c r="G362" t="inlineStr">
        <is>
          <t>ASKERSUND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25005-2026</t>
        </is>
      </c>
      <c r="B363" t="inlineStr">
        <is>
          <t>avverkningsanmälan</t>
        </is>
      </c>
      <c r="C363" t="inlineStr">
        <is>
          <t>Föryngringsavverkning</t>
        </is>
      </c>
      <c r="D363" s="1" t="n">
        <v>46174</v>
      </c>
      <c r="E363" s="1" t="n">
        <v>46326</v>
      </c>
      <c r="F363" t="inlineStr">
        <is>
          <t>ÖREBRO LÄN</t>
        </is>
      </c>
      <c r="G363" t="inlineStr">
        <is>
          <t>ASKERSUND</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25035-2026</t>
        </is>
      </c>
      <c r="B364" t="inlineStr">
        <is>
          <t>avverkningsanmälan</t>
        </is>
      </c>
      <c r="C364" t="inlineStr">
        <is>
          <t>Föryngringsavverkning</t>
        </is>
      </c>
      <c r="D364" s="1" t="n">
        <v>46174</v>
      </c>
      <c r="E364" s="1" t="n">
        <v>46326</v>
      </c>
      <c r="F364" t="inlineStr">
        <is>
          <t>ÖREBRO LÄN</t>
        </is>
      </c>
      <c r="G364" t="inlineStr">
        <is>
          <t>ASKERSUND</t>
        </is>
      </c>
      <c r="H364" t="inlineStr">
        <is>
          <t>Sveaskog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25038-2026</t>
        </is>
      </c>
      <c r="B365" t="inlineStr">
        <is>
          <t>avverkningsanmälan</t>
        </is>
      </c>
      <c r="C365" t="inlineStr">
        <is>
          <t>Föryngringsavverkning</t>
        </is>
      </c>
      <c r="D365" s="1" t="n">
        <v>46174</v>
      </c>
      <c r="E365" s="1" t="n">
        <v>46326</v>
      </c>
      <c r="F365" t="inlineStr">
        <is>
          <t>ÖREBRO LÄN</t>
        </is>
      </c>
      <c r="G365" t="inlineStr">
        <is>
          <t>ASKERSUND</t>
        </is>
      </c>
      <c r="H365" t="inlineStr">
        <is>
          <t>Sveaskog</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24738-2026</t>
        </is>
      </c>
      <c r="B366" t="inlineStr">
        <is>
          <t>avverkningsanmälan</t>
        </is>
      </c>
      <c r="C366" t="inlineStr">
        <is>
          <t>Föryngringsavverkning</t>
        </is>
      </c>
      <c r="D366" s="1" t="n">
        <v>46171</v>
      </c>
      <c r="E366" s="1" t="n">
        <v>46326</v>
      </c>
      <c r="F366" t="inlineStr">
        <is>
          <t>ÖREBRO LÄN</t>
        </is>
      </c>
      <c r="G366" t="inlineStr">
        <is>
          <t>ASKERSUND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44764-2023</t>
        </is>
      </c>
      <c r="B367" t="inlineStr">
        <is>
          <t>avverkningsanmälan</t>
        </is>
      </c>
      <c r="C367" t="inlineStr">
        <is>
          <t>Föryngringsavverkning</t>
        </is>
      </c>
      <c r="D367" s="1" t="n">
        <v>45190</v>
      </c>
      <c r="E367" s="1" t="n">
        <v>46326</v>
      </c>
      <c r="F367" t="inlineStr">
        <is>
          <t>ÖREBRO LÄN</t>
        </is>
      </c>
      <c r="G367" t="inlineStr">
        <is>
          <t>ASKERSUND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54649-2023</t>
        </is>
      </c>
      <c r="B368" t="inlineStr">
        <is>
          <t>avverkningsanmälan</t>
        </is>
      </c>
      <c r="C368" t="inlineStr">
        <is>
          <t>Föryngringsavverkning</t>
        </is>
      </c>
      <c r="D368" s="1" t="n">
        <v>45235</v>
      </c>
      <c r="E368" s="1" t="n">
        <v>46326</v>
      </c>
      <c r="F368" t="inlineStr">
        <is>
          <t>ÖREBRO LÄN</t>
        </is>
      </c>
      <c r="G368" t="inlineStr">
        <is>
          <t>ASKERSUND</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13893-2024</t>
        </is>
      </c>
      <c r="B369" t="inlineStr">
        <is>
          <t>avverkningsanmälan</t>
        </is>
      </c>
      <c r="C369" t="inlineStr">
        <is>
          <t>Föryngringsavverkning</t>
        </is>
      </c>
      <c r="D369" s="1" t="n">
        <v>45391</v>
      </c>
      <c r="E369" s="1" t="n">
        <v>46326</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9169-2022</t>
        </is>
      </c>
      <c r="B370" t="inlineStr">
        <is>
          <t>avverkningsanmälan</t>
        </is>
      </c>
      <c r="C370" t="inlineStr">
        <is>
          <t>Föryngringsavverkning</t>
        </is>
      </c>
      <c r="D370" s="1" t="n">
        <v>44615</v>
      </c>
      <c r="E370" s="1" t="n">
        <v>46326</v>
      </c>
      <c r="F370" t="inlineStr">
        <is>
          <t>ÖREBRO LÄN</t>
        </is>
      </c>
      <c r="G370" t="inlineStr">
        <is>
          <t>ASKERSUND</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6828-2022</t>
        </is>
      </c>
      <c r="B371" t="inlineStr">
        <is>
          <t>avverkningsanmälan</t>
        </is>
      </c>
      <c r="C371" t="inlineStr">
        <is>
          <t>Föryngringsavverkning</t>
        </is>
      </c>
      <c r="D371" s="1" t="n">
        <v>44602</v>
      </c>
      <c r="E371" s="1" t="n">
        <v>46326</v>
      </c>
      <c r="F371" t="inlineStr">
        <is>
          <t>ÖREBRO LÄN</t>
        </is>
      </c>
      <c r="G371" t="inlineStr">
        <is>
          <t>ASKERSUND</t>
        </is>
      </c>
      <c r="I371" t="n">
        <v>9.699999999999999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26127-2026</t>
        </is>
      </c>
      <c r="B372" t="inlineStr">
        <is>
          <t>avverkningsanmälan</t>
        </is>
      </c>
      <c r="C372" t="inlineStr">
        <is>
          <t>Föryngringsavverkning</t>
        </is>
      </c>
      <c r="D372" s="1" t="n">
        <v>46181</v>
      </c>
      <c r="E372" s="1" t="n">
        <v>46326</v>
      </c>
      <c r="F372" t="inlineStr">
        <is>
          <t>ÖREBRO LÄN</t>
        </is>
      </c>
      <c r="G372" t="inlineStr">
        <is>
          <t>ASKERSUND</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26132-2026</t>
        </is>
      </c>
      <c r="B373" t="inlineStr">
        <is>
          <t>avverkningsanmälan</t>
        </is>
      </c>
      <c r="C373" t="inlineStr">
        <is>
          <t>Föryngringsavverkning</t>
        </is>
      </c>
      <c r="D373" s="1" t="n">
        <v>46181</v>
      </c>
      <c r="E373" s="1" t="n">
        <v>46326</v>
      </c>
      <c r="F373" t="inlineStr">
        <is>
          <t>ÖREBRO LÄN</t>
        </is>
      </c>
      <c r="G373" t="inlineStr">
        <is>
          <t>ASKERSUND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10204-2025</t>
        </is>
      </c>
      <c r="B374" t="inlineStr">
        <is>
          <t>avverkningsanmälan</t>
        </is>
      </c>
      <c r="C374" t="inlineStr">
        <is>
          <t>Föryngringsavverkning</t>
        </is>
      </c>
      <c r="D374" s="1" t="n">
        <v>45719</v>
      </c>
      <c r="E374" s="1" t="n">
        <v>46326</v>
      </c>
      <c r="F374" t="inlineStr">
        <is>
          <t>ÖREBRO LÄN</t>
        </is>
      </c>
      <c r="G374" t="inlineStr">
        <is>
          <t>ASKERSUND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26138-2026</t>
        </is>
      </c>
      <c r="B375" t="inlineStr">
        <is>
          <t>avverkningsanmälan</t>
        </is>
      </c>
      <c r="C375" t="inlineStr">
        <is>
          <t>Föryngringsavverkning</t>
        </is>
      </c>
      <c r="D375" s="1" t="n">
        <v>46181</v>
      </c>
      <c r="E375" s="1" t="n">
        <v>46326</v>
      </c>
      <c r="F375" t="inlineStr">
        <is>
          <t>ÖREBRO LÄN</t>
        </is>
      </c>
      <c r="G375" t="inlineStr">
        <is>
          <t>ASKERSUND</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34139-2022</t>
        </is>
      </c>
      <c r="B376" t="inlineStr">
        <is>
          <t>avverkningsanmälan</t>
        </is>
      </c>
      <c r="C376" t="inlineStr">
        <is>
          <t>Föryngringsavverkning</t>
        </is>
      </c>
      <c r="D376" s="1" t="n">
        <v>44791</v>
      </c>
      <c r="E376" s="1" t="n">
        <v>46326</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26205-2026</t>
        </is>
      </c>
      <c r="B377" t="inlineStr">
        <is>
          <t>avverkningsanmälan</t>
        </is>
      </c>
      <c r="C377" t="inlineStr">
        <is>
          <t>Föryngringsavverkning</t>
        </is>
      </c>
      <c r="D377" s="1" t="n">
        <v>46182</v>
      </c>
      <c r="E377" s="1" t="n">
        <v>46326</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25297-2026</t>
        </is>
      </c>
      <c r="B378" t="inlineStr">
        <is>
          <t>avverkningsanmälan</t>
        </is>
      </c>
      <c r="C378" t="inlineStr">
        <is>
          <t>Föryngringsavverkning</t>
        </is>
      </c>
      <c r="D378" s="1" t="n">
        <v>46176</v>
      </c>
      <c r="E378" s="1" t="n">
        <v>46326</v>
      </c>
      <c r="F378" t="inlineStr">
        <is>
          <t>ÖREBRO LÄN</t>
        </is>
      </c>
      <c r="G378" t="inlineStr">
        <is>
          <t>ASKERSUND</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27258-2026</t>
        </is>
      </c>
      <c r="B379" t="inlineStr">
        <is>
          <t>avverkningsanmälan</t>
        </is>
      </c>
      <c r="C379" t="inlineStr">
        <is>
          <t>Föryngringsavverkning</t>
        </is>
      </c>
      <c r="D379" s="1" t="n">
        <v>46184</v>
      </c>
      <c r="E379" s="1" t="n">
        <v>46326</v>
      </c>
      <c r="F379" t="inlineStr">
        <is>
          <t>ÖREBRO LÄN</t>
        </is>
      </c>
      <c r="G379" t="inlineStr">
        <is>
          <t>ASKERSUND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27264-2026</t>
        </is>
      </c>
      <c r="B380" t="inlineStr">
        <is>
          <t>avverkningsanmälan</t>
        </is>
      </c>
      <c r="C380" t="inlineStr">
        <is>
          <t>Föryngringsavverkning</t>
        </is>
      </c>
      <c r="D380" s="1" t="n">
        <v>46184</v>
      </c>
      <c r="E380" s="1" t="n">
        <v>46326</v>
      </c>
      <c r="F380" t="inlineStr">
        <is>
          <t>ÖREBRO LÄN</t>
        </is>
      </c>
      <c r="G380" t="inlineStr">
        <is>
          <t>ASKERSUND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27241-2026</t>
        </is>
      </c>
      <c r="B381" t="inlineStr">
        <is>
          <t>avverkningsanmälan</t>
        </is>
      </c>
      <c r="C381" t="inlineStr">
        <is>
          <t>Föryngringsavverkning</t>
        </is>
      </c>
      <c r="D381" s="1" t="n">
        <v>46184</v>
      </c>
      <c r="E381" s="1" t="n">
        <v>46326</v>
      </c>
      <c r="F381" t="inlineStr">
        <is>
          <t>ÖREBRO LÄN</t>
        </is>
      </c>
      <c r="G381" t="inlineStr">
        <is>
          <t>ASKERSUND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27027-2026</t>
        </is>
      </c>
      <c r="B382" t="inlineStr">
        <is>
          <t>avverkningsanmälan</t>
        </is>
      </c>
      <c r="C382" t="inlineStr">
        <is>
          <t>Föryngringsavverkning</t>
        </is>
      </c>
      <c r="D382" s="1" t="n">
        <v>46185</v>
      </c>
      <c r="E382" s="1" t="n">
        <v>46326</v>
      </c>
      <c r="F382" t="inlineStr">
        <is>
          <t>ÖREBRO LÄN</t>
        </is>
      </c>
      <c r="G382" t="inlineStr">
        <is>
          <t>ASKERSUND</t>
        </is>
      </c>
      <c r="H382" t="inlineStr">
        <is>
          <t>Sveaskog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22814-2024</t>
        </is>
      </c>
      <c r="B383" t="inlineStr">
        <is>
          <t>avverkningsanmälan</t>
        </is>
      </c>
      <c r="C383" t="inlineStr">
        <is>
          <t>Föryngringsavverkning</t>
        </is>
      </c>
      <c r="D383" s="1" t="n">
        <v>45448</v>
      </c>
      <c r="E383" s="1" t="n">
        <v>46326</v>
      </c>
      <c r="F383" t="inlineStr">
        <is>
          <t>ÖREBRO LÄN</t>
        </is>
      </c>
      <c r="G383" t="inlineStr">
        <is>
          <t>ASKERSUND</t>
        </is>
      </c>
      <c r="H383" t="inlineStr">
        <is>
          <t>Övriga Aktiebolag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31668-2024</t>
        </is>
      </c>
      <c r="B384" t="inlineStr">
        <is>
          <t>avverkningsanmälan</t>
        </is>
      </c>
      <c r="C384" t="inlineStr">
        <is>
          <t>Föryngringsavverkning</t>
        </is>
      </c>
      <c r="D384" s="1" t="n">
        <v>45506</v>
      </c>
      <c r="E384" s="1" t="n">
        <v>46326</v>
      </c>
      <c r="F384" t="inlineStr">
        <is>
          <t>ÖREBRO LÄN</t>
        </is>
      </c>
      <c r="G384" t="inlineStr">
        <is>
          <t>ASKERSUND</t>
        </is>
      </c>
      <c r="H384" t="inlineStr">
        <is>
          <t>Sveaskog</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45210-2023</t>
        </is>
      </c>
      <c r="B385" t="inlineStr">
        <is>
          <t>avverkningsanmälan</t>
        </is>
      </c>
      <c r="C385" t="inlineStr">
        <is>
          <t>Föryngringsavverkning</t>
        </is>
      </c>
      <c r="D385" s="1" t="n">
        <v>45191</v>
      </c>
      <c r="E385" s="1" t="n">
        <v>46326</v>
      </c>
      <c r="F385" t="inlineStr">
        <is>
          <t>ÖREBRO LÄN</t>
        </is>
      </c>
      <c r="G385" t="inlineStr">
        <is>
          <t>ASKERSUND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27021-2026</t>
        </is>
      </c>
      <c r="B386" t="inlineStr">
        <is>
          <t>avverkningsanmälan</t>
        </is>
      </c>
      <c r="C386" t="inlineStr">
        <is>
          <t>Föryngringsavverkning</t>
        </is>
      </c>
      <c r="D386" s="1" t="n">
        <v>46185</v>
      </c>
      <c r="E386" s="1" t="n">
        <v>46326</v>
      </c>
      <c r="F386" t="inlineStr">
        <is>
          <t>ÖREBRO LÄN</t>
        </is>
      </c>
      <c r="G386" t="inlineStr">
        <is>
          <t>ASKERSUND</t>
        </is>
      </c>
      <c r="H386" t="inlineStr">
        <is>
          <t>Sveaskog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27031-2026</t>
        </is>
      </c>
      <c r="B387" t="inlineStr">
        <is>
          <t>avverkningsanmälan</t>
        </is>
      </c>
      <c r="C387" t="inlineStr">
        <is>
          <t>Föryngringsavverkning</t>
        </is>
      </c>
      <c r="D387" s="1" t="n">
        <v>46185</v>
      </c>
      <c r="E387" s="1" t="n">
        <v>46326</v>
      </c>
      <c r="F387" t="inlineStr">
        <is>
          <t>ÖREBRO LÄN</t>
        </is>
      </c>
      <c r="G387" t="inlineStr">
        <is>
          <t>ASKERSUND</t>
        </is>
      </c>
      <c r="H387" t="inlineStr">
        <is>
          <t>Sveaskog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27515-2026</t>
        </is>
      </c>
      <c r="B388" t="inlineStr">
        <is>
          <t>avverkningsanmälan</t>
        </is>
      </c>
      <c r="C388" t="inlineStr">
        <is>
          <t>Föryngringsavverkning</t>
        </is>
      </c>
      <c r="D388" s="1" t="n">
        <v>46189</v>
      </c>
      <c r="E388" s="1" t="n">
        <v>46326</v>
      </c>
      <c r="F388" t="inlineStr">
        <is>
          <t>ÖREBRO LÄN</t>
        </is>
      </c>
      <c r="G388" t="inlineStr">
        <is>
          <t>ASKERSUND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27516-2026</t>
        </is>
      </c>
      <c r="B389" t="inlineStr">
        <is>
          <t>avverkningsanmälan</t>
        </is>
      </c>
      <c r="C389" t="inlineStr">
        <is>
          <t>Föryngringsavverkning</t>
        </is>
      </c>
      <c r="D389" s="1" t="n">
        <v>46189</v>
      </c>
      <c r="E389" s="1" t="n">
        <v>46326</v>
      </c>
      <c r="F389" t="inlineStr">
        <is>
          <t>ÖREBRO LÄN</t>
        </is>
      </c>
      <c r="G389" t="inlineStr">
        <is>
          <t>ASKERSUND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27512-2026</t>
        </is>
      </c>
      <c r="B390" t="inlineStr">
        <is>
          <t>avverkningsanmälan</t>
        </is>
      </c>
      <c r="C390" t="inlineStr">
        <is>
          <t>Föryngringsavverkning</t>
        </is>
      </c>
      <c r="D390" s="1" t="n">
        <v>46189</v>
      </c>
      <c r="E390" s="1" t="n">
        <v>46326</v>
      </c>
      <c r="F390" t="inlineStr">
        <is>
          <t>ÖREBRO LÄN</t>
        </is>
      </c>
      <c r="G390" t="inlineStr">
        <is>
          <t>ASKERSUND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12735-2022</t>
        </is>
      </c>
      <c r="B391" t="inlineStr">
        <is>
          <t>avverkningsanmälan</t>
        </is>
      </c>
      <c r="C391" t="inlineStr">
        <is>
          <t>Föryngringsavverkning</t>
        </is>
      </c>
      <c r="D391" s="1" t="n">
        <v>44641</v>
      </c>
      <c r="E391" s="1" t="n">
        <v>46326</v>
      </c>
      <c r="F391" t="inlineStr">
        <is>
          <t>ÖREBRO LÄN</t>
        </is>
      </c>
      <c r="G391" t="inlineStr">
        <is>
          <t>ASKERSUND</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28302-2026</t>
        </is>
      </c>
      <c r="B392" t="inlineStr">
        <is>
          <t>avverkningsanmälan</t>
        </is>
      </c>
      <c r="C392" t="inlineStr">
        <is>
          <t>Föryngringsavverkning</t>
        </is>
      </c>
      <c r="D392" s="1" t="n">
        <v>46196</v>
      </c>
      <c r="E392" s="1" t="n">
        <v>46326</v>
      </c>
      <c r="F392" t="inlineStr">
        <is>
          <t>ÖREBRO LÄN</t>
        </is>
      </c>
      <c r="G392" t="inlineStr">
        <is>
          <t>ASKERSUND</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12426-2023</t>
        </is>
      </c>
      <c r="B393" t="inlineStr">
        <is>
          <t>avverkningsanmälan</t>
        </is>
      </c>
      <c r="C393" t="inlineStr">
        <is>
          <t>Föryngringsavverkning</t>
        </is>
      </c>
      <c r="D393" s="1" t="n">
        <v>44999</v>
      </c>
      <c r="E393" s="1" t="n">
        <v>46326</v>
      </c>
      <c r="F393" t="inlineStr">
        <is>
          <t>ÖREBRO LÄN</t>
        </is>
      </c>
      <c r="G393" t="inlineStr">
        <is>
          <t>ASKERSUND</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28300-2026</t>
        </is>
      </c>
      <c r="B394" t="inlineStr">
        <is>
          <t>avverkningsanmälan</t>
        </is>
      </c>
      <c r="C394" t="inlineStr">
        <is>
          <t>Föryngringsavverkning</t>
        </is>
      </c>
      <c r="D394" s="1" t="n">
        <v>46196</v>
      </c>
      <c r="E394" s="1" t="n">
        <v>46326</v>
      </c>
      <c r="F394" t="inlineStr">
        <is>
          <t>ÖREBRO LÄN</t>
        </is>
      </c>
      <c r="G394" t="inlineStr">
        <is>
          <t>ASKERSUND</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28301-2026</t>
        </is>
      </c>
      <c r="B395" t="inlineStr">
        <is>
          <t>avverkningsanmälan</t>
        </is>
      </c>
      <c r="C395" t="inlineStr">
        <is>
          <t>Föryngringsavverkning</t>
        </is>
      </c>
      <c r="D395" s="1" t="n">
        <v>46196</v>
      </c>
      <c r="E395" s="1" t="n">
        <v>46326</v>
      </c>
      <c r="F395" t="inlineStr">
        <is>
          <t>ÖREBRO LÄN</t>
        </is>
      </c>
      <c r="G395" t="inlineStr">
        <is>
          <t>ASKERSUND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28698-2026</t>
        </is>
      </c>
      <c r="B396" t="inlineStr">
        <is>
          <t>avverkningsanmälan</t>
        </is>
      </c>
      <c r="C396" t="inlineStr">
        <is>
          <t>Föryngringsavverkning</t>
        </is>
      </c>
      <c r="D396" s="1" t="n">
        <v>46198</v>
      </c>
      <c r="E396" s="1" t="n">
        <v>46326</v>
      </c>
      <c r="F396" t="inlineStr">
        <is>
          <t>ÖREBRO LÄN</t>
        </is>
      </c>
      <c r="G396" t="inlineStr">
        <is>
          <t>ASKERSUND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28776-2026</t>
        </is>
      </c>
      <c r="B397" t="inlineStr">
        <is>
          <t>avverkningsanmälan</t>
        </is>
      </c>
      <c r="C397" t="inlineStr">
        <is>
          <t>Föryngringsavverkning</t>
        </is>
      </c>
      <c r="D397" s="1" t="n">
        <v>46198</v>
      </c>
      <c r="E397" s="1" t="n">
        <v>46326</v>
      </c>
      <c r="F397" t="inlineStr">
        <is>
          <t>ÖREBRO LÄN</t>
        </is>
      </c>
      <c r="G397" t="inlineStr">
        <is>
          <t>ASKERSUND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28772-2026</t>
        </is>
      </c>
      <c r="B398" t="inlineStr">
        <is>
          <t>avverkningsanmälan</t>
        </is>
      </c>
      <c r="C398" t="inlineStr">
        <is>
          <t>Föryngringsavverkning</t>
        </is>
      </c>
      <c r="D398" s="1" t="n">
        <v>46198</v>
      </c>
      <c r="E398" s="1" t="n">
        <v>46326</v>
      </c>
      <c r="F398" t="inlineStr">
        <is>
          <t>ÖREBRO LÄN</t>
        </is>
      </c>
      <c r="G398" t="inlineStr">
        <is>
          <t>ASKERSUND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8210-2022</t>
        </is>
      </c>
      <c r="B399" t="inlineStr">
        <is>
          <t>avverkningsanmälan</t>
        </is>
      </c>
      <c r="C399" t="inlineStr">
        <is>
          <t>Föryngringsavverkning</t>
        </is>
      </c>
      <c r="D399" s="1" t="n">
        <v>44609</v>
      </c>
      <c r="E399" s="1" t="n">
        <v>46326</v>
      </c>
      <c r="F399" t="inlineStr">
        <is>
          <t>ÖREBRO LÄN</t>
        </is>
      </c>
      <c r="G399" t="inlineStr">
        <is>
          <t>ASKERSUND</t>
        </is>
      </c>
      <c r="I399" t="n">
        <v>8.300000000000001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27232-2026</t>
        </is>
      </c>
      <c r="B400" t="inlineStr">
        <is>
          <t>avverkningsanmälan</t>
        </is>
      </c>
      <c r="C400" t="inlineStr">
        <is>
          <t>Föryngringsavverkning</t>
        </is>
      </c>
      <c r="D400" s="1" t="n">
        <v>46184</v>
      </c>
      <c r="E400" s="1" t="n">
        <v>46326</v>
      </c>
      <c r="F400" t="inlineStr">
        <is>
          <t>ÖREBRO LÄN</t>
        </is>
      </c>
      <c r="G400" t="inlineStr">
        <is>
          <t>ASKERSUND</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3675-2023</t>
        </is>
      </c>
      <c r="B401" t="inlineStr">
        <is>
          <t>avverkningsanmälan</t>
        </is>
      </c>
      <c r="C401" t="inlineStr">
        <is>
          <t>Föryngringsavverkning</t>
        </is>
      </c>
      <c r="D401" s="1" t="n">
        <v>44950</v>
      </c>
      <c r="E401" s="1" t="n">
        <v>46326</v>
      </c>
      <c r="F401" t="inlineStr">
        <is>
          <t>ÖREBRO LÄN</t>
        </is>
      </c>
      <c r="G401" t="inlineStr">
        <is>
          <t>ASKERSUND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3680-2023</t>
        </is>
      </c>
      <c r="B402" t="inlineStr">
        <is>
          <t>avverkningsanmälan</t>
        </is>
      </c>
      <c r="C402" t="inlineStr">
        <is>
          <t>Föryngringsavverkning</t>
        </is>
      </c>
      <c r="D402" s="1" t="n">
        <v>44950</v>
      </c>
      <c r="E402" s="1" t="n">
        <v>46326</v>
      </c>
      <c r="F402" t="inlineStr">
        <is>
          <t>ÖREBRO LÄN</t>
        </is>
      </c>
      <c r="G402" t="inlineStr">
        <is>
          <t>ASKERSUND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47202-2024</t>
        </is>
      </c>
      <c r="B403" t="inlineStr">
        <is>
          <t>avverkningsanmälan</t>
        </is>
      </c>
      <c r="C403" t="inlineStr">
        <is>
          <t>Föryngringsavverkning</t>
        </is>
      </c>
      <c r="D403" s="1" t="n">
        <v>45586</v>
      </c>
      <c r="E403" s="1" t="n">
        <v>46326</v>
      </c>
      <c r="F403" t="inlineStr">
        <is>
          <t>ÖREBRO LÄN</t>
        </is>
      </c>
      <c r="G403" t="inlineStr">
        <is>
          <t>ASKERSUND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62319-2023</t>
        </is>
      </c>
      <c r="B404" t="inlineStr">
        <is>
          <t>avverkningsanmälan</t>
        </is>
      </c>
      <c r="C404" t="inlineStr">
        <is>
          <t>Föryngringsavverkning</t>
        </is>
      </c>
      <c r="D404" s="1" t="n">
        <v>45267</v>
      </c>
      <c r="E404" s="1" t="n">
        <v>46326</v>
      </c>
      <c r="F404" t="inlineStr">
        <is>
          <t>ÖREBRO LÄN</t>
        </is>
      </c>
      <c r="G404" t="inlineStr">
        <is>
          <t>ASKERSUND</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73579-2021</t>
        </is>
      </c>
      <c r="B405" t="inlineStr">
        <is>
          <t>avverkningsanmälan</t>
        </is>
      </c>
      <c r="C405" t="inlineStr">
        <is>
          <t>Föryngringsavverkning</t>
        </is>
      </c>
      <c r="D405" s="1" t="n">
        <v>44552</v>
      </c>
      <c r="E405" s="1" t="n">
        <v>46326</v>
      </c>
      <c r="F405" t="inlineStr">
        <is>
          <t>ÖREBRO LÄN</t>
        </is>
      </c>
      <c r="G405" t="inlineStr">
        <is>
          <t>ASKERSUND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32214-2024</t>
        </is>
      </c>
      <c r="B406" t="inlineStr">
        <is>
          <t>avverkningsanmälan</t>
        </is>
      </c>
      <c r="C406" t="inlineStr">
        <is>
          <t>Föryngringsavverkning</t>
        </is>
      </c>
      <c r="D406" s="1" t="n">
        <v>45511</v>
      </c>
      <c r="E406" s="1" t="n">
        <v>46326</v>
      </c>
      <c r="F406" t="inlineStr">
        <is>
          <t>ÖREBRO LÄN</t>
        </is>
      </c>
      <c r="G406" t="inlineStr">
        <is>
          <t>ASKERSUND</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30572-2026</t>
        </is>
      </c>
      <c r="B407" t="inlineStr">
        <is>
          <t>avverkningsanmälan</t>
        </is>
      </c>
      <c r="C407" t="inlineStr">
        <is>
          <t>Föryngringsavverkning</t>
        </is>
      </c>
      <c r="D407" s="1" t="n">
        <v>46210</v>
      </c>
      <c r="E407" s="1" t="n">
        <v>46326</v>
      </c>
      <c r="F407" t="inlineStr">
        <is>
          <t>ÖREBRO LÄN</t>
        </is>
      </c>
      <c r="G407" t="inlineStr">
        <is>
          <t>ASKERSUND</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30571-2026</t>
        </is>
      </c>
      <c r="B408" t="inlineStr">
        <is>
          <t>avverkningsanmälan</t>
        </is>
      </c>
      <c r="C408" t="inlineStr">
        <is>
          <t>Föryngringsavverkning</t>
        </is>
      </c>
      <c r="D408" s="1" t="n">
        <v>46210</v>
      </c>
      <c r="E408" s="1" t="n">
        <v>46326</v>
      </c>
      <c r="F408" t="inlineStr">
        <is>
          <t>ÖREBRO LÄN</t>
        </is>
      </c>
      <c r="G408" t="inlineStr">
        <is>
          <t>ASKERSUND</t>
        </is>
      </c>
      <c r="H408" t="inlineStr">
        <is>
          <t>Sveaskog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30570-2026</t>
        </is>
      </c>
      <c r="B409" t="inlineStr">
        <is>
          <t>avverkningsanmälan</t>
        </is>
      </c>
      <c r="C409" t="inlineStr">
        <is>
          <t>Föryngringsavverkning</t>
        </is>
      </c>
      <c r="D409" s="1" t="n">
        <v>46210</v>
      </c>
      <c r="E409" s="1" t="n">
        <v>46326</v>
      </c>
      <c r="F409" t="inlineStr">
        <is>
          <t>ÖREBRO LÄN</t>
        </is>
      </c>
      <c r="G409" t="inlineStr">
        <is>
          <t>ASKERSUND</t>
        </is>
      </c>
      <c r="H409" t="inlineStr">
        <is>
          <t>Sveaskog</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30612-2026</t>
        </is>
      </c>
      <c r="B410" t="inlineStr">
        <is>
          <t>avverkningsanmälan</t>
        </is>
      </c>
      <c r="C410" t="inlineStr">
        <is>
          <t>Föryngringsavverkning</t>
        </is>
      </c>
      <c r="D410" s="1" t="n">
        <v>46210</v>
      </c>
      <c r="E410" s="1" t="n">
        <v>46326</v>
      </c>
      <c r="F410" t="inlineStr">
        <is>
          <t>ÖREBRO LÄN</t>
        </is>
      </c>
      <c r="G410" t="inlineStr">
        <is>
          <t>ASKERSUND</t>
        </is>
      </c>
      <c r="H410" t="inlineStr">
        <is>
          <t>Sveaskog</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31076-2026</t>
        </is>
      </c>
      <c r="B411" t="inlineStr">
        <is>
          <t>avverkningsanmälan</t>
        </is>
      </c>
      <c r="C411" t="inlineStr">
        <is>
          <t>Föryngringsavverkning</t>
        </is>
      </c>
      <c r="D411" s="1" t="n">
        <v>46216</v>
      </c>
      <c r="E411" s="1" t="n">
        <v>46326</v>
      </c>
      <c r="F411" t="inlineStr">
        <is>
          <t>ÖREBRO LÄN</t>
        </is>
      </c>
      <c r="G411" t="inlineStr">
        <is>
          <t>ASKERSUND</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31077-2026</t>
        </is>
      </c>
      <c r="B412" t="inlineStr">
        <is>
          <t>avverkningsanmälan</t>
        </is>
      </c>
      <c r="C412" t="inlineStr">
        <is>
          <t>Föryngringsavverkning</t>
        </is>
      </c>
      <c r="D412" s="1" t="n">
        <v>46216</v>
      </c>
      <c r="E412" s="1" t="n">
        <v>46326</v>
      </c>
      <c r="F412" t="inlineStr">
        <is>
          <t>ÖREBRO LÄN</t>
        </is>
      </c>
      <c r="G412" t="inlineStr">
        <is>
          <t>ASKERSUND</t>
        </is>
      </c>
      <c r="H412" t="inlineStr">
        <is>
          <t>Sveaskog</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4474-2024</t>
        </is>
      </c>
      <c r="B413" t="inlineStr">
        <is>
          <t>avverkningsanmälan</t>
        </is>
      </c>
      <c r="C413" t="inlineStr">
        <is>
          <t>Föryngringsavverkning</t>
        </is>
      </c>
      <c r="D413" s="1" t="n">
        <v>45327</v>
      </c>
      <c r="E413" s="1" t="n">
        <v>46326</v>
      </c>
      <c r="F413" t="inlineStr">
        <is>
          <t>ÖREBRO LÄN</t>
        </is>
      </c>
      <c r="G413" t="inlineStr">
        <is>
          <t>ASKERSUND</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45339-2022</t>
        </is>
      </c>
      <c r="B414" t="inlineStr">
        <is>
          <t>avverkningsanmälan</t>
        </is>
      </c>
      <c r="C414" t="inlineStr">
        <is>
          <t>Föryngringsavverkning</t>
        </is>
      </c>
      <c r="D414" s="1" t="n">
        <v>44844</v>
      </c>
      <c r="E414" s="1" t="n">
        <v>46326</v>
      </c>
      <c r="F414" t="inlineStr">
        <is>
          <t>ÖREBRO LÄN</t>
        </is>
      </c>
      <c r="G414" t="inlineStr">
        <is>
          <t>ASKERSUND</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11968-2023</t>
        </is>
      </c>
      <c r="B415" t="inlineStr">
        <is>
          <t>avverkningsanmälan</t>
        </is>
      </c>
      <c r="C415" t="inlineStr">
        <is>
          <t>Föryngringsavverkning</t>
        </is>
      </c>
      <c r="D415" s="1" t="n">
        <v>44995</v>
      </c>
      <c r="E415" s="1" t="n">
        <v>46326</v>
      </c>
      <c r="F415" t="inlineStr">
        <is>
          <t>ÖREBRO LÄN</t>
        </is>
      </c>
      <c r="G415" t="inlineStr">
        <is>
          <t>ASKERSUND</t>
        </is>
      </c>
      <c r="H415" t="inlineStr">
        <is>
          <t>Sveaskog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43471-2023</t>
        </is>
      </c>
      <c r="B416" t="inlineStr">
        <is>
          <t>avverkningsanmälan</t>
        </is>
      </c>
      <c r="C416" t="inlineStr">
        <is>
          <t>Föryngringsavverkning</t>
        </is>
      </c>
      <c r="D416" s="1" t="n">
        <v>45184</v>
      </c>
      <c r="E416" s="1" t="n">
        <v>46326</v>
      </c>
      <c r="F416" t="inlineStr">
        <is>
          <t>ÖREBRO LÄN</t>
        </is>
      </c>
      <c r="G416" t="inlineStr">
        <is>
          <t>ASKERSUND</t>
        </is>
      </c>
      <c r="H416" t="inlineStr">
        <is>
          <t>Sveaskog</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25808-2022</t>
        </is>
      </c>
      <c r="B417" t="inlineStr">
        <is>
          <t>avverkningsanmälan</t>
        </is>
      </c>
      <c r="C417" t="inlineStr">
        <is>
          <t>Föryngringsavverkning</t>
        </is>
      </c>
      <c r="D417" s="1" t="n">
        <v>44733</v>
      </c>
      <c r="E417" s="1" t="n">
        <v>46326</v>
      </c>
      <c r="F417" t="inlineStr">
        <is>
          <t>ÖREBRO LÄN</t>
        </is>
      </c>
      <c r="G417" t="inlineStr">
        <is>
          <t>ASKERSUND</t>
        </is>
      </c>
      <c r="H417" t="inlineStr">
        <is>
          <t>Sveaskog</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31847-2026</t>
        </is>
      </c>
      <c r="B418" t="inlineStr">
        <is>
          <t>avverkningsanmälan</t>
        </is>
      </c>
      <c r="C418" t="inlineStr">
        <is>
          <t>Föryngringsavverkning</t>
        </is>
      </c>
      <c r="D418" s="1" t="n">
        <v>46230</v>
      </c>
      <c r="E418" s="1" t="n">
        <v>46326</v>
      </c>
      <c r="F418" t="inlineStr">
        <is>
          <t>ÖREBRO LÄN</t>
        </is>
      </c>
      <c r="G418" t="inlineStr">
        <is>
          <t>ASKERSUND</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31846-2026</t>
        </is>
      </c>
      <c r="B419" t="inlineStr">
        <is>
          <t>avverkningsanmälan</t>
        </is>
      </c>
      <c r="C419" t="inlineStr">
        <is>
          <t>Föryngringsavverkning</t>
        </is>
      </c>
      <c r="D419" s="1" t="n">
        <v>46230</v>
      </c>
      <c r="E419" s="1" t="n">
        <v>46326</v>
      </c>
      <c r="F419" t="inlineStr">
        <is>
          <t>ÖREBRO LÄN</t>
        </is>
      </c>
      <c r="G419" t="inlineStr">
        <is>
          <t>ASKERSUND</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31845-2026</t>
        </is>
      </c>
      <c r="B420" t="inlineStr">
        <is>
          <t>avverkningsanmälan</t>
        </is>
      </c>
      <c r="C420" t="inlineStr">
        <is>
          <t>Föryngringsavverkning</t>
        </is>
      </c>
      <c r="D420" s="1" t="n">
        <v>46230</v>
      </c>
      <c r="E420" s="1" t="n">
        <v>46326</v>
      </c>
      <c r="F420" t="inlineStr">
        <is>
          <t>ÖREBRO LÄN</t>
        </is>
      </c>
      <c r="G420" t="inlineStr">
        <is>
          <t>ASKERSUND</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31852-2026</t>
        </is>
      </c>
      <c r="B421" t="inlineStr">
        <is>
          <t>avverkningsanmälan</t>
        </is>
      </c>
      <c r="C421" t="inlineStr">
        <is>
          <t>Föryngringsavverkning</t>
        </is>
      </c>
      <c r="D421" s="1" t="n">
        <v>46230</v>
      </c>
      <c r="E421" s="1" t="n">
        <v>46326</v>
      </c>
      <c r="F421" t="inlineStr">
        <is>
          <t>ÖREBRO LÄN</t>
        </is>
      </c>
      <c r="G421" t="inlineStr">
        <is>
          <t>ASKERSUND</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29116-2024</t>
        </is>
      </c>
      <c r="B422" t="inlineStr">
        <is>
          <t>avverkningsanmälan</t>
        </is>
      </c>
      <c r="C422" t="inlineStr">
        <is>
          <t>Föryngringsavverkning</t>
        </is>
      </c>
      <c r="D422" s="1" t="n">
        <v>45481</v>
      </c>
      <c r="E422" s="1" t="n">
        <v>46326</v>
      </c>
      <c r="F422" t="inlineStr">
        <is>
          <t>ÖREBRO LÄN</t>
        </is>
      </c>
      <c r="G422" t="inlineStr">
        <is>
          <t>ASKERSUND</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61517-2021</t>
        </is>
      </c>
      <c r="B423" t="inlineStr">
        <is>
          <t>avverkningsanmälan</t>
        </is>
      </c>
      <c r="C423" t="inlineStr">
        <is>
          <t>Föryngringsavverkning</t>
        </is>
      </c>
      <c r="D423" s="1" t="n">
        <v>44501</v>
      </c>
      <c r="E423" s="1" t="n">
        <v>46326</v>
      </c>
      <c r="F423" t="inlineStr">
        <is>
          <t>ÖREBRO LÄN</t>
        </is>
      </c>
      <c r="G423" t="inlineStr">
        <is>
          <t>ASKERSUND</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32164-2026</t>
        </is>
      </c>
      <c r="B424" t="inlineStr">
        <is>
          <t>avverkningsanmälan</t>
        </is>
      </c>
      <c r="C424" t="inlineStr">
        <is>
          <t>Föryngringsavverkning</t>
        </is>
      </c>
      <c r="D424" s="1" t="n">
        <v>46237</v>
      </c>
      <c r="E424" s="1" t="n">
        <v>46326</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32163-2026</t>
        </is>
      </c>
      <c r="B425" t="inlineStr">
        <is>
          <t>avverkningsanmälan</t>
        </is>
      </c>
      <c r="C425" t="inlineStr">
        <is>
          <t>Föryngringsavverkning</t>
        </is>
      </c>
      <c r="D425" s="1" t="n">
        <v>46237</v>
      </c>
      <c r="E425" s="1" t="n">
        <v>46326</v>
      </c>
      <c r="F425" t="inlineStr">
        <is>
          <t>ÖREBRO LÄN</t>
        </is>
      </c>
      <c r="G425" t="inlineStr">
        <is>
          <t>ASKERSUND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12895-2022</t>
        </is>
      </c>
      <c r="B426" t="inlineStr">
        <is>
          <t>avverkningsanmälan</t>
        </is>
      </c>
      <c r="C426" t="inlineStr">
        <is>
          <t>Föryngringsavverkning</t>
        </is>
      </c>
      <c r="D426" s="1" t="n">
        <v>44642</v>
      </c>
      <c r="E426" s="1" t="n">
        <v>46326</v>
      </c>
      <c r="F426" t="inlineStr">
        <is>
          <t>ÖREBRO LÄN</t>
        </is>
      </c>
      <c r="G426" t="inlineStr">
        <is>
          <t>ASKERSUND</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13780-2023</t>
        </is>
      </c>
      <c r="B427" t="inlineStr">
        <is>
          <t>avverkningsanmälan</t>
        </is>
      </c>
      <c r="C427" t="inlineStr">
        <is>
          <t>Föryngringsavverkning</t>
        </is>
      </c>
      <c r="D427" s="1" t="n">
        <v>45007</v>
      </c>
      <c r="E427" s="1" t="n">
        <v>46326</v>
      </c>
      <c r="F427" t="inlineStr">
        <is>
          <t>ÖREBRO LÄN</t>
        </is>
      </c>
      <c r="G427" t="inlineStr">
        <is>
          <t>ASKERSUND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59587-2023</t>
        </is>
      </c>
      <c r="B428" t="inlineStr">
        <is>
          <t>avverkningsanmälan</t>
        </is>
      </c>
      <c r="C428" t="inlineStr">
        <is>
          <t>Föryngringsavverkning</t>
        </is>
      </c>
      <c r="D428" s="1" t="n">
        <v>45254</v>
      </c>
      <c r="E428" s="1" t="n">
        <v>46326</v>
      </c>
      <c r="F428" t="inlineStr">
        <is>
          <t>ÖREBRO LÄN</t>
        </is>
      </c>
      <c r="G428" t="inlineStr">
        <is>
          <t>ASKERSUND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39123-2026</t>
        </is>
      </c>
      <c r="B429" t="inlineStr">
        <is>
          <t>avverkningsanmälan</t>
        </is>
      </c>
      <c r="C429" t="inlineStr">
        <is>
          <t>Föryngringsavverkning</t>
        </is>
      </c>
      <c r="D429" s="1" t="n">
        <v>46287</v>
      </c>
      <c r="E429" s="1" t="n">
        <v>46326</v>
      </c>
      <c r="F429" t="inlineStr">
        <is>
          <t>ÖREBRO LÄN</t>
        </is>
      </c>
      <c r="G429" t="inlineStr">
        <is>
          <t>ASKERSUND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12732-2022</t>
        </is>
      </c>
      <c r="B430" t="inlineStr">
        <is>
          <t>avverkningsanmälan</t>
        </is>
      </c>
      <c r="C430" t="inlineStr">
        <is>
          <t>Föryngringsavverkning</t>
        </is>
      </c>
      <c r="D430" s="1" t="n">
        <v>44641</v>
      </c>
      <c r="E430" s="1" t="n">
        <v>46326</v>
      </c>
      <c r="F430" t="inlineStr">
        <is>
          <t>ÖREBRO LÄN</t>
        </is>
      </c>
      <c r="G430" t="inlineStr">
        <is>
          <t>ASKERSUND</t>
        </is>
      </c>
      <c r="H430" t="inlineStr">
        <is>
          <t>Sveaskog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916-2025</t>
        </is>
      </c>
      <c r="B431" t="inlineStr">
        <is>
          <t>avverkningsanmälan</t>
        </is>
      </c>
      <c r="C431" t="inlineStr">
        <is>
          <t>Föryngringsavverkning</t>
        </is>
      </c>
      <c r="D431" s="1" t="n">
        <v>45664</v>
      </c>
      <c r="E431" s="1" t="n">
        <v>46326</v>
      </c>
      <c r="F431" t="inlineStr">
        <is>
          <t>ÖREBRO LÄN</t>
        </is>
      </c>
      <c r="G431" t="inlineStr">
        <is>
          <t>ASKERSUND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39501-2026</t>
        </is>
      </c>
      <c r="B432" t="inlineStr">
        <is>
          <t>avverkningsanmälan</t>
        </is>
      </c>
      <c r="C432" t="inlineStr">
        <is>
          <t>Föryngringsavverkning</t>
        </is>
      </c>
      <c r="D432" s="1" t="n">
        <v>46289</v>
      </c>
      <c r="E432" s="1" t="n">
        <v>46326</v>
      </c>
      <c r="F432" t="inlineStr">
        <is>
          <t>ÖREBRO LÄN</t>
        </is>
      </c>
      <c r="G432" t="inlineStr">
        <is>
          <t>ASKERSUND</t>
        </is>
      </c>
      <c r="H432" t="inlineStr">
        <is>
          <t>Sveaskog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39503-2026</t>
        </is>
      </c>
      <c r="B433" t="inlineStr">
        <is>
          <t>avverkningsanmälan</t>
        </is>
      </c>
      <c r="C433" t="inlineStr">
        <is>
          <t>Föryngringsavverkning</t>
        </is>
      </c>
      <c r="D433" s="1" t="n">
        <v>46289</v>
      </c>
      <c r="E433" s="1" t="n">
        <v>46326</v>
      </c>
      <c r="F433" t="inlineStr">
        <is>
          <t>ÖREBRO LÄN</t>
        </is>
      </c>
      <c r="G433" t="inlineStr">
        <is>
          <t>ASKERSUND</t>
        </is>
      </c>
      <c r="H433" t="inlineStr">
        <is>
          <t>Sveaskog</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21048-2025</t>
        </is>
      </c>
      <c r="B434" t="inlineStr">
        <is>
          <t>avverkningsanmälan</t>
        </is>
      </c>
      <c r="C434" t="inlineStr">
        <is>
          <t>Föryngringsavverkning</t>
        </is>
      </c>
      <c r="D434" s="1" t="n">
        <v>45777</v>
      </c>
      <c r="E434" s="1" t="n">
        <v>46326</v>
      </c>
      <c r="F434" t="inlineStr">
        <is>
          <t>ÖREBRO LÄN</t>
        </is>
      </c>
      <c r="G434" t="inlineStr">
        <is>
          <t>ASKERSUND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50416-2024</t>
        </is>
      </c>
      <c r="B435" t="inlineStr">
        <is>
          <t>avverkningsanmälan</t>
        </is>
      </c>
      <c r="C435" t="inlineStr">
        <is>
          <t>Föryngringsavverkning</t>
        </is>
      </c>
      <c r="D435" s="1" t="n">
        <v>45601</v>
      </c>
      <c r="E435" s="1" t="n">
        <v>46326</v>
      </c>
      <c r="F435" t="inlineStr">
        <is>
          <t>ÖREBRO LÄN</t>
        </is>
      </c>
      <c r="G435" t="inlineStr">
        <is>
          <t>ASKERSUND</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39801-2026</t>
        </is>
      </c>
      <c r="B436" t="inlineStr">
        <is>
          <t>avverkningsanmälan</t>
        </is>
      </c>
      <c r="C436" t="inlineStr">
        <is>
          <t>Föryngringsavverkning</t>
        </is>
      </c>
      <c r="D436" s="1" t="n">
        <v>46290</v>
      </c>
      <c r="E436" s="1" t="n">
        <v>46326</v>
      </c>
      <c r="F436" t="inlineStr">
        <is>
          <t>ÖREBRO LÄN</t>
        </is>
      </c>
      <c r="G436" t="inlineStr">
        <is>
          <t>ASKERSUND</t>
        </is>
      </c>
      <c r="H436" t="inlineStr">
        <is>
          <t>Sveaskog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41073-2024</t>
        </is>
      </c>
      <c r="B437" t="inlineStr">
        <is>
          <t>avverkningsanmälan</t>
        </is>
      </c>
      <c r="C437" t="inlineStr">
        <is>
          <t>Föryngringsavverkning</t>
        </is>
      </c>
      <c r="D437" s="1" t="n">
        <v>45559</v>
      </c>
      <c r="E437" s="1" t="n">
        <v>46326</v>
      </c>
      <c r="F437" t="inlineStr">
        <is>
          <t>ÖREBRO LÄN</t>
        </is>
      </c>
      <c r="G437" t="inlineStr">
        <is>
          <t>ASKERSUND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39864-2026</t>
        </is>
      </c>
      <c r="B438" t="inlineStr">
        <is>
          <t>avverkningsanmälan</t>
        </is>
      </c>
      <c r="C438" t="inlineStr">
        <is>
          <t>Föryngringsavverkning</t>
        </is>
      </c>
      <c r="D438" s="1" t="n">
        <v>46290</v>
      </c>
      <c r="E438" s="1" t="n">
        <v>46326</v>
      </c>
      <c r="F438" t="inlineStr">
        <is>
          <t>ÖREBRO LÄN</t>
        </is>
      </c>
      <c r="G438" t="inlineStr">
        <is>
          <t>ASKERSUND</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1341-2024</t>
        </is>
      </c>
      <c r="B439" t="inlineStr">
        <is>
          <t>avverkningsanmälan</t>
        </is>
      </c>
      <c r="C439" t="inlineStr">
        <is>
          <t>Föryngringsavverkning</t>
        </is>
      </c>
      <c r="D439" s="1" t="n">
        <v>45303</v>
      </c>
      <c r="E439" s="1" t="n">
        <v>46326</v>
      </c>
      <c r="F439" t="inlineStr">
        <is>
          <t>ÖREBRO LÄN</t>
        </is>
      </c>
      <c r="G439" t="inlineStr">
        <is>
          <t>ASKERSUND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26752-2024</t>
        </is>
      </c>
      <c r="B440" t="inlineStr">
        <is>
          <t>avverkningsanmälan</t>
        </is>
      </c>
      <c r="C440" t="inlineStr">
        <is>
          <t>Föryngringsavverkning</t>
        </is>
      </c>
      <c r="D440" s="1" t="n">
        <v>45470</v>
      </c>
      <c r="E440" s="1" t="n">
        <v>46326</v>
      </c>
      <c r="F440" t="inlineStr">
        <is>
          <t>ÖREBRO LÄN</t>
        </is>
      </c>
      <c r="G440" t="inlineStr">
        <is>
          <t>ASKERSUND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39821-2026</t>
        </is>
      </c>
      <c r="B441" t="inlineStr">
        <is>
          <t>avverkningsanmälan</t>
        </is>
      </c>
      <c r="C441" t="inlineStr">
        <is>
          <t>Föryngringsavverkning</t>
        </is>
      </c>
      <c r="D441" s="1" t="n">
        <v>46290</v>
      </c>
      <c r="E441" s="1" t="n">
        <v>46326</v>
      </c>
      <c r="F441" t="inlineStr">
        <is>
          <t>ÖREBRO LÄN</t>
        </is>
      </c>
      <c r="G441" t="inlineStr">
        <is>
          <t>ASKERSUND</t>
        </is>
      </c>
      <c r="H441" t="inlineStr">
        <is>
          <t>Sveaskog</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16292-2024</t>
        </is>
      </c>
      <c r="B442" t="inlineStr">
        <is>
          <t>avverkningsanmälan</t>
        </is>
      </c>
      <c r="C442" t="inlineStr">
        <is>
          <t>Föryngringsavverkning</t>
        </is>
      </c>
      <c r="D442" s="1" t="n">
        <v>45407</v>
      </c>
      <c r="E442" s="1" t="n">
        <v>46326</v>
      </c>
      <c r="F442" t="inlineStr">
        <is>
          <t>ÖREBRO LÄN</t>
        </is>
      </c>
      <c r="G442" t="inlineStr">
        <is>
          <t>ASKERSUND</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39818-2026</t>
        </is>
      </c>
      <c r="B443" t="inlineStr">
        <is>
          <t>avverkningsanmälan</t>
        </is>
      </c>
      <c r="C443" t="inlineStr">
        <is>
          <t>Föryngringsavverkning</t>
        </is>
      </c>
      <c r="D443" s="1" t="n">
        <v>46290</v>
      </c>
      <c r="E443" s="1" t="n">
        <v>46326</v>
      </c>
      <c r="F443" t="inlineStr">
        <is>
          <t>ÖREBRO LÄN</t>
        </is>
      </c>
      <c r="G443" t="inlineStr">
        <is>
          <t>ASKERSUND</t>
        </is>
      </c>
      <c r="H443" t="inlineStr">
        <is>
          <t>Sveaskog</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66010-2021</t>
        </is>
      </c>
      <c r="B444" t="inlineStr">
        <is>
          <t>avverkningsanmälan</t>
        </is>
      </c>
      <c r="C444" t="inlineStr">
        <is>
          <t>Föryngringsavverkning</t>
        </is>
      </c>
      <c r="D444" s="1" t="n">
        <v>44517</v>
      </c>
      <c r="E444" s="1" t="n">
        <v>46326</v>
      </c>
      <c r="F444" t="inlineStr">
        <is>
          <t>ÖREBRO LÄN</t>
        </is>
      </c>
      <c r="G444" t="inlineStr">
        <is>
          <t>ASKERSUND</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39807-2026</t>
        </is>
      </c>
      <c r="B445" t="inlineStr">
        <is>
          <t>avverkningsanmälan</t>
        </is>
      </c>
      <c r="C445" t="inlineStr">
        <is>
          <t>Föryngringsavverkning</t>
        </is>
      </c>
      <c r="D445" s="1" t="n">
        <v>46290</v>
      </c>
      <c r="E445" s="1" t="n">
        <v>46326</v>
      </c>
      <c r="F445" t="inlineStr">
        <is>
          <t>ÖREBRO LÄN</t>
        </is>
      </c>
      <c r="G445" t="inlineStr">
        <is>
          <t>ASKERSUND</t>
        </is>
      </c>
      <c r="H445" t="inlineStr">
        <is>
          <t>Sveaskog</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39802-2026</t>
        </is>
      </c>
      <c r="B446" t="inlineStr">
        <is>
          <t>avverkningsanmälan</t>
        </is>
      </c>
      <c r="C446" t="inlineStr">
        <is>
          <t>Föryngringsavverkning</t>
        </is>
      </c>
      <c r="D446" s="1" t="n">
        <v>46290</v>
      </c>
      <c r="E446" s="1" t="n">
        <v>46326</v>
      </c>
      <c r="F446" t="inlineStr">
        <is>
          <t>ÖREBRO LÄN</t>
        </is>
      </c>
      <c r="G446" t="inlineStr">
        <is>
          <t>ASKERSUND</t>
        </is>
      </c>
      <c r="H446" t="inlineStr">
        <is>
          <t>Sveaskog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1412-2025</t>
        </is>
      </c>
      <c r="B447" t="inlineStr">
        <is>
          <t>avverkningsanmälan</t>
        </is>
      </c>
      <c r="C447" t="inlineStr">
        <is>
          <t>Föryngringsavverkning</t>
        </is>
      </c>
      <c r="D447" s="1" t="n">
        <v>45667</v>
      </c>
      <c r="E447" s="1" t="n">
        <v>46326</v>
      </c>
      <c r="F447" t="inlineStr">
        <is>
          <t>ÖREBRO LÄN</t>
        </is>
      </c>
      <c r="G447" t="inlineStr">
        <is>
          <t>ASKERSUND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54393-2024</t>
        </is>
      </c>
      <c r="B448" t="inlineStr">
        <is>
          <t>avverkningsanmälan</t>
        </is>
      </c>
      <c r="C448" t="inlineStr">
        <is>
          <t>Föryngringsavverkning</t>
        </is>
      </c>
      <c r="D448" s="1" t="n">
        <v>45617</v>
      </c>
      <c r="E448" s="1" t="n">
        <v>46326</v>
      </c>
      <c r="F448" t="inlineStr">
        <is>
          <t>ÖREBRO LÄN</t>
        </is>
      </c>
      <c r="G448" t="inlineStr">
        <is>
          <t>ASKERSUND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43578-2024</t>
        </is>
      </c>
      <c r="B449" t="inlineStr">
        <is>
          <t>avverkningsanmälan</t>
        </is>
      </c>
      <c r="C449" t="inlineStr">
        <is>
          <t>Föryngringsavverkning</t>
        </is>
      </c>
      <c r="D449" s="1" t="n">
        <v>45569</v>
      </c>
      <c r="E449" s="1" t="n">
        <v>46326</v>
      </c>
      <c r="F449" t="inlineStr">
        <is>
          <t>ÖREBRO LÄN</t>
        </is>
      </c>
      <c r="G449" t="inlineStr">
        <is>
          <t>ASKERSUND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34005-2026</t>
        </is>
      </c>
      <c r="B450" t="inlineStr">
        <is>
          <t>avverkningsanmälan</t>
        </is>
      </c>
      <c r="C450" t="inlineStr">
        <is>
          <t>Föryngringsavverkning</t>
        </is>
      </c>
      <c r="D450" s="1" t="n">
        <v>46252</v>
      </c>
      <c r="E450" s="1" t="n">
        <v>46326</v>
      </c>
      <c r="F450" t="inlineStr">
        <is>
          <t>ÖREBRO LÄN</t>
        </is>
      </c>
      <c r="G450" t="inlineStr">
        <is>
          <t>ASKERSUND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33995-2026</t>
        </is>
      </c>
      <c r="B451" t="inlineStr">
        <is>
          <t>avverkningsanmälan</t>
        </is>
      </c>
      <c r="C451" t="inlineStr">
        <is>
          <t>Föryngringsavverkning</t>
        </is>
      </c>
      <c r="D451" s="1" t="n">
        <v>46252</v>
      </c>
      <c r="E451" s="1" t="n">
        <v>46326</v>
      </c>
      <c r="F451" t="inlineStr">
        <is>
          <t>ÖREBRO LÄN</t>
        </is>
      </c>
      <c r="G451" t="inlineStr">
        <is>
          <t>ASKERSUND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33996-2026</t>
        </is>
      </c>
      <c r="B452" t="inlineStr">
        <is>
          <t>avverkningsanmälan</t>
        </is>
      </c>
      <c r="C452" t="inlineStr">
        <is>
          <t>Föryngringsavverkning</t>
        </is>
      </c>
      <c r="D452" s="1" t="n">
        <v>46252</v>
      </c>
      <c r="E452" s="1" t="n">
        <v>46326</v>
      </c>
      <c r="F452" t="inlineStr">
        <is>
          <t>ÖREBRO LÄN</t>
        </is>
      </c>
      <c r="G452" t="inlineStr">
        <is>
          <t>ASKERSUND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34401-2026</t>
        </is>
      </c>
      <c r="B453" t="inlineStr">
        <is>
          <t>avverkningsanmälan</t>
        </is>
      </c>
      <c r="C453" t="inlineStr">
        <is>
          <t>Föryngringsavverkning</t>
        </is>
      </c>
      <c r="D453" s="1" t="n">
        <v>46253</v>
      </c>
      <c r="E453" s="1" t="n">
        <v>46326</v>
      </c>
      <c r="F453" t="inlineStr">
        <is>
          <t>ÖREBRO LÄN</t>
        </is>
      </c>
      <c r="G453" t="inlineStr">
        <is>
          <t>ASKERSUND</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1332-2024</t>
        </is>
      </c>
      <c r="B454" t="inlineStr">
        <is>
          <t>avverkningsanmälan</t>
        </is>
      </c>
      <c r="C454" t="inlineStr">
        <is>
          <t>Föryngringsavverkning</t>
        </is>
      </c>
      <c r="D454" s="1" t="n">
        <v>45303</v>
      </c>
      <c r="E454" s="1" t="n">
        <v>46326</v>
      </c>
      <c r="F454" t="inlineStr">
        <is>
          <t>ÖREBRO LÄN</t>
        </is>
      </c>
      <c r="G454" t="inlineStr">
        <is>
          <t>ASKERSUND</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40961-2026</t>
        </is>
      </c>
      <c r="B455" t="inlineStr">
        <is>
          <t>avverkningsanmälan</t>
        </is>
      </c>
      <c r="C455" t="inlineStr">
        <is>
          <t>Föryngringsavverkning</t>
        </is>
      </c>
      <c r="D455" s="1" t="n">
        <v>46297</v>
      </c>
      <c r="E455" s="1" t="n">
        <v>46326</v>
      </c>
      <c r="F455" t="inlineStr">
        <is>
          <t>ÖREBRO LÄN</t>
        </is>
      </c>
      <c r="G455" t="inlineStr">
        <is>
          <t>ASKERSUND</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40965-2026</t>
        </is>
      </c>
      <c r="B456" t="inlineStr">
        <is>
          <t>avverkningsanmälan</t>
        </is>
      </c>
      <c r="C456" t="inlineStr">
        <is>
          <t>Föryngringsavverkning</t>
        </is>
      </c>
      <c r="D456" s="1" t="n">
        <v>46297</v>
      </c>
      <c r="E456" s="1" t="n">
        <v>46326</v>
      </c>
      <c r="F456" t="inlineStr">
        <is>
          <t>ÖREBRO LÄN</t>
        </is>
      </c>
      <c r="G456" t="inlineStr">
        <is>
          <t>ASKERSUND</t>
        </is>
      </c>
      <c r="H456" t="inlineStr">
        <is>
          <t>Sveaskog</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40966-2026</t>
        </is>
      </c>
      <c r="B457" t="inlineStr">
        <is>
          <t>avverkningsanmälan</t>
        </is>
      </c>
      <c r="C457" t="inlineStr">
        <is>
          <t>Föryngringsavverkning</t>
        </is>
      </c>
      <c r="D457" s="1" t="n">
        <v>46297</v>
      </c>
      <c r="E457" s="1" t="n">
        <v>46326</v>
      </c>
      <c r="F457" t="inlineStr">
        <is>
          <t>ÖREBRO LÄN</t>
        </is>
      </c>
      <c r="G457" t="inlineStr">
        <is>
          <t>ASKERSUND</t>
        </is>
      </c>
      <c r="H457" t="inlineStr">
        <is>
          <t>Sveaskog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10432-2025</t>
        </is>
      </c>
      <c r="B458" t="inlineStr">
        <is>
          <t>avverkningsanmälan</t>
        </is>
      </c>
      <c r="C458" t="inlineStr">
        <is>
          <t>Föryngringsavverkning</t>
        </is>
      </c>
      <c r="D458" s="1" t="n">
        <v>45720</v>
      </c>
      <c r="E458" s="1" t="n">
        <v>46326</v>
      </c>
      <c r="F458" t="inlineStr">
        <is>
          <t>ÖREBRO LÄN</t>
        </is>
      </c>
      <c r="G458" t="inlineStr">
        <is>
          <t>ASKERSUND</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3457-2025</t>
        </is>
      </c>
      <c r="B459" t="inlineStr">
        <is>
          <t>avverkningsanmälan</t>
        </is>
      </c>
      <c r="C459" t="inlineStr">
        <is>
          <t>Avverkning för att bevara och utveckla /försöksver</t>
        </is>
      </c>
      <c r="D459" s="1" t="n">
        <v>45680</v>
      </c>
      <c r="E459" s="1" t="n">
        <v>46326</v>
      </c>
      <c r="F459" t="inlineStr">
        <is>
          <t>ÖREBRO LÄN</t>
        </is>
      </c>
      <c r="G459" t="inlineStr">
        <is>
          <t>ASKERSUND</t>
        </is>
      </c>
      <c r="H459" t="inlineStr">
        <is>
          <t>Sveaskog</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40969-2026</t>
        </is>
      </c>
      <c r="B460" t="inlineStr">
        <is>
          <t>avverkningsanmälan</t>
        </is>
      </c>
      <c r="C460" t="inlineStr">
        <is>
          <t>Föryngringsavverkning</t>
        </is>
      </c>
      <c r="D460" s="1" t="n">
        <v>46297</v>
      </c>
      <c r="E460" s="1" t="n">
        <v>46326</v>
      </c>
      <c r="F460" t="inlineStr">
        <is>
          <t>ÖREBRO LÄN</t>
        </is>
      </c>
      <c r="G460" t="inlineStr">
        <is>
          <t>ASKERSUND</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40970-2026</t>
        </is>
      </c>
      <c r="B461" t="inlineStr">
        <is>
          <t>avverkningsanmälan</t>
        </is>
      </c>
      <c r="C461" t="inlineStr">
        <is>
          <t>Föryngringsavverkning</t>
        </is>
      </c>
      <c r="D461" s="1" t="n">
        <v>46297</v>
      </c>
      <c r="E461" s="1" t="n">
        <v>46326</v>
      </c>
      <c r="F461" t="inlineStr">
        <is>
          <t>ÖREBRO LÄN</t>
        </is>
      </c>
      <c r="G461" t="inlineStr">
        <is>
          <t>ASKERSUND</t>
        </is>
      </c>
      <c r="H461" t="inlineStr">
        <is>
          <t>Sveaskog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40962-2026</t>
        </is>
      </c>
      <c r="B462" t="inlineStr">
        <is>
          <t>avverkningsanmälan</t>
        </is>
      </c>
      <c r="C462" t="inlineStr">
        <is>
          <t>Föryngringsavverkning</t>
        </is>
      </c>
      <c r="D462" s="1" t="n">
        <v>46297</v>
      </c>
      <c r="E462" s="1" t="n">
        <v>46326</v>
      </c>
      <c r="F462" t="inlineStr">
        <is>
          <t>ÖREBRO LÄN</t>
        </is>
      </c>
      <c r="G462" t="inlineStr">
        <is>
          <t>ASKERSUND</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41008-2026</t>
        </is>
      </c>
      <c r="B463" t="inlineStr">
        <is>
          <t>avverkningsanmälan</t>
        </is>
      </c>
      <c r="C463" t="inlineStr">
        <is>
          <t>Föryngringsavverkning</t>
        </is>
      </c>
      <c r="D463" s="1" t="n">
        <v>46297</v>
      </c>
      <c r="E463" s="1" t="n">
        <v>46326</v>
      </c>
      <c r="F463" t="inlineStr">
        <is>
          <t>ÖREBRO LÄN</t>
        </is>
      </c>
      <c r="G463" t="inlineStr">
        <is>
          <t>ASKERSUND</t>
        </is>
      </c>
      <c r="H463" t="inlineStr">
        <is>
          <t>Sveaskog</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34465-2026</t>
        </is>
      </c>
      <c r="B464" t="inlineStr">
        <is>
          <t>avverkningsanmälan</t>
        </is>
      </c>
      <c r="C464" t="inlineStr">
        <is>
          <t>Föryngringsavverkning</t>
        </is>
      </c>
      <c r="D464" s="1" t="n">
        <v>46254</v>
      </c>
      <c r="E464" s="1" t="n">
        <v>46326</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40989-2026</t>
        </is>
      </c>
      <c r="B465" t="inlineStr">
        <is>
          <t>avverkningsanmälan</t>
        </is>
      </c>
      <c r="C465" t="inlineStr">
        <is>
          <t>Föryngringsavverkning</t>
        </is>
      </c>
      <c r="D465" s="1" t="n">
        <v>46297</v>
      </c>
      <c r="E465" s="1" t="n">
        <v>46326</v>
      </c>
      <c r="F465" t="inlineStr">
        <is>
          <t>ÖREBRO LÄN</t>
        </is>
      </c>
      <c r="G465" t="inlineStr">
        <is>
          <t>ASKERSUND</t>
        </is>
      </c>
      <c r="H465" t="inlineStr">
        <is>
          <t>Sveaskog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40956-2026</t>
        </is>
      </c>
      <c r="B466" t="inlineStr">
        <is>
          <t>avverkningsanmälan</t>
        </is>
      </c>
      <c r="C466" t="inlineStr">
        <is>
          <t>Föryngringsavverkning</t>
        </is>
      </c>
      <c r="D466" s="1" t="n">
        <v>46297</v>
      </c>
      <c r="E466" s="1" t="n">
        <v>46326</v>
      </c>
      <c r="F466" t="inlineStr">
        <is>
          <t>ÖREBRO LÄN</t>
        </is>
      </c>
      <c r="G466" t="inlineStr">
        <is>
          <t>ASKERSUND</t>
        </is>
      </c>
      <c r="H466" t="inlineStr">
        <is>
          <t>Sveaskog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40958-2026</t>
        </is>
      </c>
      <c r="B467" t="inlineStr">
        <is>
          <t>avverkningsanmälan</t>
        </is>
      </c>
      <c r="C467" t="inlineStr">
        <is>
          <t>Föryngringsavverkning</t>
        </is>
      </c>
      <c r="D467" s="1" t="n">
        <v>46297</v>
      </c>
      <c r="E467" s="1" t="n">
        <v>46326</v>
      </c>
      <c r="F467" t="inlineStr">
        <is>
          <t>ÖREBRO LÄN</t>
        </is>
      </c>
      <c r="G467" t="inlineStr">
        <is>
          <t>ASKERSUND</t>
        </is>
      </c>
      <c r="H467" t="inlineStr">
        <is>
          <t>Sveaskog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34807-2026</t>
        </is>
      </c>
      <c r="B468" t="inlineStr">
        <is>
          <t>avverkningsanmälan</t>
        </is>
      </c>
      <c r="C468" t="inlineStr">
        <is>
          <t>Föryngringsavverkning</t>
        </is>
      </c>
      <c r="D468" s="1" t="n">
        <v>46258</v>
      </c>
      <c r="E468" s="1" t="n">
        <v>46326</v>
      </c>
      <c r="F468" t="inlineStr">
        <is>
          <t>ÖREBRO LÄN</t>
        </is>
      </c>
      <c r="G468" t="inlineStr">
        <is>
          <t>ASKERSUND</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41973-2026</t>
        </is>
      </c>
      <c r="B469" t="inlineStr">
        <is>
          <t>avverkningsanmälan</t>
        </is>
      </c>
      <c r="C469" t="inlineStr">
        <is>
          <t>Föryngringsavverkning</t>
        </is>
      </c>
      <c r="D469" s="1" t="n">
        <v>46303</v>
      </c>
      <c r="E469" s="1" t="n">
        <v>46326</v>
      </c>
      <c r="F469" t="inlineStr">
        <is>
          <t>ÖREBRO LÄN</t>
        </is>
      </c>
      <c r="G469" t="inlineStr">
        <is>
          <t>ASKERSUND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42721-2026</t>
        </is>
      </c>
      <c r="B470" t="inlineStr">
        <is>
          <t>avverkningsanmälan</t>
        </is>
      </c>
      <c r="C470" t="inlineStr">
        <is>
          <t>Föryngringsavverkning</t>
        </is>
      </c>
      <c r="D470" s="1" t="n">
        <v>46309</v>
      </c>
      <c r="E470" s="1" t="n">
        <v>46326</v>
      </c>
      <c r="F470" t="inlineStr">
        <is>
          <t>ÖREBRO LÄN</t>
        </is>
      </c>
      <c r="G470" t="inlineStr">
        <is>
          <t>ASKERSUND</t>
        </is>
      </c>
      <c r="H470" t="inlineStr">
        <is>
          <t>Sveaskog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42720-2026</t>
        </is>
      </c>
      <c r="B471" t="inlineStr">
        <is>
          <t>avverkningsanmälan</t>
        </is>
      </c>
      <c r="C471" t="inlineStr">
        <is>
          <t>Föryngringsavverkning</t>
        </is>
      </c>
      <c r="D471" s="1" t="n">
        <v>46309</v>
      </c>
      <c r="E471" s="1" t="n">
        <v>46326</v>
      </c>
      <c r="F471" t="inlineStr">
        <is>
          <t>ÖREBRO LÄN</t>
        </is>
      </c>
      <c r="G471" t="inlineStr">
        <is>
          <t>ASKERSUND</t>
        </is>
      </c>
      <c r="H471" t="inlineStr">
        <is>
          <t>Sveaskog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36306-2026</t>
        </is>
      </c>
      <c r="B472" t="inlineStr">
        <is>
          <t>avverkningsanmälan</t>
        </is>
      </c>
      <c r="C472" t="inlineStr">
        <is>
          <t>Föryngringsavverkning</t>
        </is>
      </c>
      <c r="D472" s="1" t="n">
        <v>46268</v>
      </c>
      <c r="E472" s="1" t="n">
        <v>46326</v>
      </c>
      <c r="F472" t="inlineStr">
        <is>
          <t>ÖREBRO LÄN</t>
        </is>
      </c>
      <c r="G472" t="inlineStr">
        <is>
          <t>ASKERSUND</t>
        </is>
      </c>
      <c r="H472" t="inlineStr">
        <is>
          <t>Sveaskog</t>
        </is>
      </c>
      <c r="I472" t="n">
        <v>13.4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36324-2026</t>
        </is>
      </c>
      <c r="B473" t="inlineStr">
        <is>
          <t>avverkningsanmälan</t>
        </is>
      </c>
      <c r="C473" t="inlineStr">
        <is>
          <t>Föryngringsavverkning</t>
        </is>
      </c>
      <c r="D473" s="1" t="n">
        <v>46268</v>
      </c>
      <c r="E473" s="1" t="n">
        <v>46326</v>
      </c>
      <c r="F473" t="inlineStr">
        <is>
          <t>ÖREBRO LÄN</t>
        </is>
      </c>
      <c r="G473" t="inlineStr">
        <is>
          <t>ASKERSUND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31851-2026</t>
        </is>
      </c>
      <c r="B474" t="inlineStr">
        <is>
          <t>avverkningsanmälan</t>
        </is>
      </c>
      <c r="C474" t="inlineStr">
        <is>
          <t>Föryngringsavverkning</t>
        </is>
      </c>
      <c r="D474" s="1" t="n">
        <v>46230</v>
      </c>
      <c r="E474" s="1" t="n">
        <v>46326</v>
      </c>
      <c r="F474" t="inlineStr">
        <is>
          <t>ÖREBRO LÄN</t>
        </is>
      </c>
      <c r="G474" t="inlineStr">
        <is>
          <t>ASKERSUND</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43208-2026</t>
        </is>
      </c>
      <c r="B475" t="inlineStr">
        <is>
          <t>avverkningsanmälan</t>
        </is>
      </c>
      <c r="C475" t="inlineStr">
        <is>
          <t>Föryngringsavverkning</t>
        </is>
      </c>
      <c r="D475" s="1" t="n">
        <v>46314</v>
      </c>
      <c r="E475" s="1" t="n">
        <v>46326</v>
      </c>
      <c r="F475" t="inlineStr">
        <is>
          <t>ÖREBRO LÄN</t>
        </is>
      </c>
      <c r="G475" t="inlineStr">
        <is>
          <t>ASKERSUND</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31848-2026</t>
        </is>
      </c>
      <c r="B476" t="inlineStr">
        <is>
          <t>avverkningsanmälan</t>
        </is>
      </c>
      <c r="C476" t="inlineStr">
        <is>
          <t>Föryngringsavverkning</t>
        </is>
      </c>
      <c r="D476" s="1" t="n">
        <v>46230</v>
      </c>
      <c r="E476" s="1" t="n">
        <v>46326</v>
      </c>
      <c r="F476" t="inlineStr">
        <is>
          <t>ÖREBRO LÄN</t>
        </is>
      </c>
      <c r="G476" t="inlineStr">
        <is>
          <t>ASKERSUND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43220-2026</t>
        </is>
      </c>
      <c r="B477" t="inlineStr">
        <is>
          <t>avverkningsanmälan</t>
        </is>
      </c>
      <c r="C477" t="inlineStr">
        <is>
          <t>Föryngringsavverkning</t>
        </is>
      </c>
      <c r="D477" s="1" t="n">
        <v>46314</v>
      </c>
      <c r="E477" s="1" t="n">
        <v>46326</v>
      </c>
      <c r="F477" t="inlineStr">
        <is>
          <t>ÖREBRO LÄN</t>
        </is>
      </c>
      <c r="G477" t="inlineStr">
        <is>
          <t>ASKERSUND</t>
        </is>
      </c>
      <c r="H477" t="inlineStr">
        <is>
          <t>Sveaskog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54142-2025</t>
        </is>
      </c>
      <c r="B478" t="inlineStr">
        <is>
          <t>avverkningsanmälan</t>
        </is>
      </c>
      <c r="C478" t="inlineStr">
        <is>
          <t>Föryngringsavverkning</t>
        </is>
      </c>
      <c r="D478" s="1" t="n">
        <v>45964</v>
      </c>
      <c r="E478" s="1" t="n">
        <v>46326</v>
      </c>
      <c r="F478" t="inlineStr">
        <is>
          <t>ÖREBRO LÄN</t>
        </is>
      </c>
      <c r="G478" t="inlineStr">
        <is>
          <t>ASKERSUND</t>
        </is>
      </c>
      <c r="H478" t="inlineStr">
        <is>
          <t>Sveaskog</t>
        </is>
      </c>
      <c r="I478" t="n">
        <v>9.4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37446-2026</t>
        </is>
      </c>
      <c r="B479" t="inlineStr">
        <is>
          <t>avverkningsanmälan</t>
        </is>
      </c>
      <c r="C479" t="inlineStr">
        <is>
          <t>Föryngringsavverkning</t>
        </is>
      </c>
      <c r="D479" s="1" t="n">
        <v>46275</v>
      </c>
      <c r="E479" s="1" t="n">
        <v>46326</v>
      </c>
      <c r="F479" t="inlineStr">
        <is>
          <t>ÖREBRO LÄN</t>
        </is>
      </c>
      <c r="G479" t="inlineStr">
        <is>
          <t>ASKERSUND</t>
        </is>
      </c>
      <c r="H479" t="inlineStr">
        <is>
          <t>Sveaskog</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37444-2026</t>
        </is>
      </c>
      <c r="B480" t="inlineStr">
        <is>
          <t>avverkningsanmälan</t>
        </is>
      </c>
      <c r="C480" t="inlineStr">
        <is>
          <t>Föryngringsavverkning</t>
        </is>
      </c>
      <c r="D480" s="1" t="n">
        <v>46275</v>
      </c>
      <c r="E480" s="1" t="n">
        <v>46326</v>
      </c>
      <c r="F480" t="inlineStr">
        <is>
          <t>ÖREBRO LÄN</t>
        </is>
      </c>
      <c r="G480" t="inlineStr">
        <is>
          <t>ASKERSUND</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23568-2026</t>
        </is>
      </c>
      <c r="B481" t="inlineStr">
        <is>
          <t>avverkningsanmälan</t>
        </is>
      </c>
      <c r="C481" t="inlineStr">
        <is>
          <t>Föryngringsavverkning</t>
        </is>
      </c>
      <c r="D481" s="1" t="n">
        <v>46163</v>
      </c>
      <c r="E481" s="1" t="n">
        <v>46326</v>
      </c>
      <c r="F481" t="inlineStr">
        <is>
          <t>ÖREBRO LÄN</t>
        </is>
      </c>
      <c r="G481" t="inlineStr">
        <is>
          <t>ASKERSUND</t>
        </is>
      </c>
      <c r="H481" t="inlineStr">
        <is>
          <t>Övriga Aktiebolag</t>
        </is>
      </c>
      <c r="I481" t="n">
        <v>8.9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44918-2026</t>
        </is>
      </c>
      <c r="B482" t="inlineStr">
        <is>
          <t>avverkningsanmälan</t>
        </is>
      </c>
      <c r="C482" t="inlineStr">
        <is>
          <t>Föryngringsavverkning</t>
        </is>
      </c>
      <c r="D482" s="1" t="n">
        <v>46323</v>
      </c>
      <c r="E482" s="1" t="n">
        <v>46326</v>
      </c>
      <c r="F482" t="inlineStr">
        <is>
          <t>ÖREBRO LÄN</t>
        </is>
      </c>
      <c r="G482" t="inlineStr">
        <is>
          <t>ASKERSUND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44435-2026</t>
        </is>
      </c>
      <c r="B483" t="inlineStr">
        <is>
          <t>avverkningsanmälan</t>
        </is>
      </c>
      <c r="C483" t="inlineStr">
        <is>
          <t>Föryngringsavverkning</t>
        </is>
      </c>
      <c r="D483" s="1" t="n">
        <v>46321</v>
      </c>
      <c r="E483" s="1" t="n">
        <v>46326</v>
      </c>
      <c r="F483" t="inlineStr">
        <is>
          <t>ÖREBRO LÄN</t>
        </is>
      </c>
      <c r="G483" t="inlineStr">
        <is>
          <t>ASKERSUND</t>
        </is>
      </c>
      <c r="H483" t="inlineStr">
        <is>
          <t>Sveaskog</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44433-2026</t>
        </is>
      </c>
      <c r="B484" t="inlineStr">
        <is>
          <t>avverkningsanmälan</t>
        </is>
      </c>
      <c r="C484" t="inlineStr">
        <is>
          <t>Föryngringsavverkning</t>
        </is>
      </c>
      <c r="D484" s="1" t="n">
        <v>46321</v>
      </c>
      <c r="E484" s="1" t="n">
        <v>46326</v>
      </c>
      <c r="F484" t="inlineStr">
        <is>
          <t>ÖREBRO LÄN</t>
        </is>
      </c>
      <c r="G484" t="inlineStr">
        <is>
          <t>ASKERSUND</t>
        </is>
      </c>
      <c r="H484" t="inlineStr">
        <is>
          <t>Sveaskog</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38117-2026</t>
        </is>
      </c>
      <c r="B485" t="inlineStr">
        <is>
          <t>avverkningsanmälan</t>
        </is>
      </c>
      <c r="C485" t="inlineStr">
        <is>
          <t>Föryngringsavverkning</t>
        </is>
      </c>
      <c r="D485" s="1" t="n">
        <v>46281</v>
      </c>
      <c r="E485" s="1" t="n">
        <v>46326</v>
      </c>
      <c r="F485" t="inlineStr">
        <is>
          <t>ÖREBRO LÄN</t>
        </is>
      </c>
      <c r="G485" t="inlineStr">
        <is>
          <t>ASKERSUND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45091-2026</t>
        </is>
      </c>
      <c r="B486" t="inlineStr">
        <is>
          <t>avverkningsanmälan</t>
        </is>
      </c>
      <c r="C486" t="inlineStr">
        <is>
          <t>Föryngringsavverkning</t>
        </is>
      </c>
      <c r="D486" s="1" t="n">
        <v>46324</v>
      </c>
      <c r="E486" s="1" t="n">
        <v>46326</v>
      </c>
      <c r="F486" t="inlineStr">
        <is>
          <t>ÖREBRO LÄN</t>
        </is>
      </c>
      <c r="G486" t="inlineStr">
        <is>
          <t>ASKERSUND</t>
        </is>
      </c>
      <c r="H486" t="inlineStr">
        <is>
          <t>Sveaskog</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45097-2026</t>
        </is>
      </c>
      <c r="B487" t="inlineStr">
        <is>
          <t>avverkningsanmälan</t>
        </is>
      </c>
      <c r="C487" t="inlineStr">
        <is>
          <t>Föryngringsavverkning</t>
        </is>
      </c>
      <c r="D487" s="1" t="n">
        <v>46324</v>
      </c>
      <c r="E487" s="1" t="n">
        <v>46326</v>
      </c>
      <c r="F487" t="inlineStr">
        <is>
          <t>ÖREBRO LÄN</t>
        </is>
      </c>
      <c r="G487" t="inlineStr">
        <is>
          <t>ASKERSUND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45076-2026</t>
        </is>
      </c>
      <c r="B488" t="inlineStr">
        <is>
          <t>avverkningsanmälan</t>
        </is>
      </c>
      <c r="C488" t="inlineStr">
        <is>
          <t>Föryngringsavverkning</t>
        </is>
      </c>
      <c r="D488" s="1" t="n">
        <v>46324</v>
      </c>
      <c r="E488" s="1" t="n">
        <v>46326</v>
      </c>
      <c r="F488" t="inlineStr">
        <is>
          <t>ÖREBRO LÄN</t>
        </is>
      </c>
      <c r="G488" t="inlineStr">
        <is>
          <t>ASKERSUND</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45302-2026</t>
        </is>
      </c>
      <c r="B489" t="inlineStr">
        <is>
          <t>avverkningsanmälan</t>
        </is>
      </c>
      <c r="C489" t="inlineStr">
        <is>
          <t>Föryngringsavverkning</t>
        </is>
      </c>
      <c r="D489" s="1" t="n">
        <v>46325</v>
      </c>
      <c r="E489" s="1" t="n">
        <v>46326</v>
      </c>
      <c r="F489" t="inlineStr">
        <is>
          <t>ÖREBRO LÄN</t>
        </is>
      </c>
      <c r="G489" t="inlineStr">
        <is>
          <t>ASKERSUND</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45092-2026</t>
        </is>
      </c>
      <c r="B490" t="inlineStr">
        <is>
          <t>avverkningsanmälan</t>
        </is>
      </c>
      <c r="C490" t="inlineStr">
        <is>
          <t>Föryngringsavverkning</t>
        </is>
      </c>
      <c r="D490" s="1" t="n">
        <v>46324</v>
      </c>
      <c r="E490" s="1" t="n">
        <v>46326</v>
      </c>
      <c r="F490" t="inlineStr">
        <is>
          <t>ÖREBRO LÄN</t>
        </is>
      </c>
      <c r="G490" t="inlineStr">
        <is>
          <t>ASKERSUND</t>
        </is>
      </c>
      <c r="H490" t="inlineStr">
        <is>
          <t>Sveaskog</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45096-2026</t>
        </is>
      </c>
      <c r="B491" t="inlineStr">
        <is>
          <t>avverkningsanmälan</t>
        </is>
      </c>
      <c r="C491" t="inlineStr">
        <is>
          <t>Föryngringsavverkning</t>
        </is>
      </c>
      <c r="D491" s="1" t="n">
        <v>46324</v>
      </c>
      <c r="E491" s="1" t="n">
        <v>46326</v>
      </c>
      <c r="F491" t="inlineStr">
        <is>
          <t>ÖREBRO LÄN</t>
        </is>
      </c>
      <c r="G491" t="inlineStr">
        <is>
          <t>ASKERSUND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38685-2026</t>
        </is>
      </c>
      <c r="B492" t="inlineStr">
        <is>
          <t>avverkningsanmälan</t>
        </is>
      </c>
      <c r="C492" t="inlineStr">
        <is>
          <t>Föryngringsavverkning</t>
        </is>
      </c>
      <c r="D492" s="1" t="n">
        <v>46283</v>
      </c>
      <c r="E492" s="1" t="n">
        <v>46326</v>
      </c>
      <c r="F492" t="inlineStr">
        <is>
          <t>ÖREBRO LÄN</t>
        </is>
      </c>
      <c r="G492" t="inlineStr">
        <is>
          <t>ASKERSUND</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1357-2020</t>
        </is>
      </c>
      <c r="B493" t="inlineStr">
        <is>
          <t>samrådsanmälan</t>
        </is>
      </c>
      <c r="C493" t="inlineStr">
        <is>
          <t>Åtgärd i nyckelbiotop</t>
        </is>
      </c>
      <c r="D493" s="1" t="n">
        <v>43993</v>
      </c>
      <c r="E493" s="1" t="n">
        <v>46326</v>
      </c>
      <c r="F493" t="inlineStr">
        <is>
          <t>ÖREBRO LÄN</t>
        </is>
      </c>
      <c r="G493" t="inlineStr">
        <is>
          <t>ASKERSUND</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1784-2022</t>
        </is>
      </c>
      <c r="B494" t="inlineStr">
        <is>
          <t>samrådsanmälan</t>
        </is>
      </c>
      <c r="C494" t="inlineStr">
        <is>
          <t>Åtgärd i nyckelbiotop</t>
        </is>
      </c>
      <c r="D494" s="1" t="n">
        <v>44655</v>
      </c>
      <c r="E494" s="1" t="n">
        <v>46326</v>
      </c>
      <c r="F494" t="inlineStr">
        <is>
          <t>ÖREBRO LÄN</t>
        </is>
      </c>
      <c r="G494" t="inlineStr">
        <is>
          <t>ASKERSUND</t>
        </is>
      </c>
      <c r="H494" t="inlineStr">
        <is>
          <t>Sveaskog</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2052-2026</t>
        </is>
      </c>
      <c r="B495" t="inlineStr">
        <is>
          <t>samrådsanmälan</t>
        </is>
      </c>
      <c r="C495" t="inlineStr">
        <is>
          <t>Annan skogsbruksåtgärd</t>
        </is>
      </c>
      <c r="D495" s="1" t="n">
        <v>46219</v>
      </c>
      <c r="E495" s="1" t="n">
        <v>46326</v>
      </c>
      <c r="F495" t="inlineStr">
        <is>
          <t>ÖREBRO LÄN</t>
        </is>
      </c>
      <c r="G495" t="inlineStr">
        <is>
          <t>ASKERSUND</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2481-2026</t>
        </is>
      </c>
      <c r="B496" t="inlineStr">
        <is>
          <t>samrådsanmälan</t>
        </is>
      </c>
      <c r="C496" t="inlineStr">
        <is>
          <t>Annan skogsbruksåtgärd</t>
        </is>
      </c>
      <c r="D496" s="1" t="n">
        <v>46286</v>
      </c>
      <c r="E496" s="1" t="n">
        <v>46326</v>
      </c>
      <c r="F496" t="inlineStr">
        <is>
          <t>ÖREBRO LÄN</t>
        </is>
      </c>
      <c r="G496" t="inlineStr">
        <is>
          <t>ASKERSUND</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2495-2026</t>
        </is>
      </c>
      <c r="B497" t="inlineStr">
        <is>
          <t>samrådsanmälan</t>
        </is>
      </c>
      <c r="C497" t="inlineStr">
        <is>
          <t>Annan skogsbruksåtgärd</t>
        </is>
      </c>
      <c r="D497" s="1" t="n">
        <v>46288</v>
      </c>
      <c r="E497" s="1" t="n">
        <v>46326</v>
      </c>
      <c r="F497" t="inlineStr">
        <is>
          <t>ÖREBRO LÄN</t>
        </is>
      </c>
      <c r="G497" t="inlineStr">
        <is>
          <t>ASKERSUND</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2312-2026</t>
        </is>
      </c>
      <c r="B498" t="inlineStr">
        <is>
          <t>samrådsanmälan</t>
        </is>
      </c>
      <c r="C498" t="inlineStr">
        <is>
          <t>Annan skogsbruksåtgärd</t>
        </is>
      </c>
      <c r="D498" s="1" t="n">
        <v>46268</v>
      </c>
      <c r="E498" s="1" t="n">
        <v>46326</v>
      </c>
      <c r="F498" t="inlineStr">
        <is>
          <t>ÖREBRO LÄN</t>
        </is>
      </c>
      <c r="G498" t="inlineStr">
        <is>
          <t>ASKERSUND</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c r="A499" t="inlineStr">
        <is>
          <t>S 2307-2026</t>
        </is>
      </c>
      <c r="B499" t="inlineStr">
        <is>
          <t>samrådsanmälan</t>
        </is>
      </c>
      <c r="C499" t="inlineStr">
        <is>
          <t>Annan skogsbruksåtgärd</t>
        </is>
      </c>
      <c r="D499" s="1" t="n">
        <v>46267</v>
      </c>
      <c r="E499" s="1" t="n">
        <v>46326</v>
      </c>
      <c r="F499" t="inlineStr">
        <is>
          <t>ÖREBRO LÄN</t>
        </is>
      </c>
      <c r="G499" t="inlineStr">
        <is>
          <t>ASKERSUND</t>
        </is>
      </c>
      <c r="I499" t="n">
        <v>1.6</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2026-10-31T03:27:37Z</dcterms:created>
  <dcterms:modified xmlns:dcterms="http://purl.org/dc/terms/" xmlns:xsi="http://www.w3.org/2001/XMLSchema-instance" xsi:type="dcterms:W3CDTF">2026-10-31T03:27:38Z</dcterms:modified>
</cp:coreProperties>
</file>