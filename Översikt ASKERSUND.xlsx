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45587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45587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45587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45587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45587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45587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45587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45587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45587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45587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45587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45587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45587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45587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45587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45587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45587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45587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45587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45587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45587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45587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45587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45587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45587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45587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45587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45587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45587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45587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25651-2020</t>
        </is>
      </c>
      <c r="B51" s="1" t="n">
        <v>43983</v>
      </c>
      <c r="C51" s="1" t="n">
        <v>45587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HYPERLINK("https://klasma.github.io/Logging_1882/artfynd/A 25651-2020 artfynd.xlsx", "A 25651-2020")</f>
        <v/>
      </c>
      <c r="T51">
        <f>HYPERLINK("https://klasma.github.io/Logging_1882/kartor/A 25651-2020 karta.png", "A 25651-2020")</f>
        <v/>
      </c>
      <c r="V51">
        <f>HYPERLINK("https://klasma.github.io/Logging_1882/klagomål/A 25651-2020 FSC-klagomål.docx", "A 25651-2020")</f>
        <v/>
      </c>
      <c r="W51">
        <f>HYPERLINK("https://klasma.github.io/Logging_1882/klagomålsmail/A 25651-2020 FSC-klagomål mail.docx", "A 25651-2020")</f>
        <v/>
      </c>
      <c r="X51">
        <f>HYPERLINK("https://klasma.github.io/Logging_1882/tillsyn/A 25651-2020 tillsynsbegäran.docx", "A 25651-2020")</f>
        <v/>
      </c>
      <c r="Y51">
        <f>HYPERLINK("https://klasma.github.io/Logging_1882/tillsynsmail/A 25651-2020 tillsynsbegäran mail.docx", "A 25651-2020")</f>
        <v/>
      </c>
      <c r="Z51">
        <f>HYPERLINK("https://klasma.github.io/Logging_1882/fåglar/A 25651-2020 prioriterade fågelarter.docx", "A 25651-2020")</f>
        <v/>
      </c>
    </row>
    <row r="52" ht="15" customHeight="1">
      <c r="A52" t="inlineStr">
        <is>
          <t>A 32905-2020</t>
        </is>
      </c>
      <c r="B52" s="1" t="n">
        <v>44020</v>
      </c>
      <c r="C52" s="1" t="n">
        <v>45587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32905-2020 artfynd.xlsx", "A 32905-2020")</f>
        <v/>
      </c>
      <c r="T52">
        <f>HYPERLINK("https://klasma.github.io/Logging_1882/kartor/A 32905-2020 karta.png", "A 32905-2020")</f>
        <v/>
      </c>
      <c r="V52">
        <f>HYPERLINK("https://klasma.github.io/Logging_1882/klagomål/A 32905-2020 FSC-klagomål.docx", "A 32905-2020")</f>
        <v/>
      </c>
      <c r="W52">
        <f>HYPERLINK("https://klasma.github.io/Logging_1882/klagomålsmail/A 32905-2020 FSC-klagomål mail.docx", "A 32905-2020")</f>
        <v/>
      </c>
      <c r="X52">
        <f>HYPERLINK("https://klasma.github.io/Logging_1882/tillsyn/A 32905-2020 tillsynsbegäran.docx", "A 32905-2020")</f>
        <v/>
      </c>
      <c r="Y52">
        <f>HYPERLINK("https://klasma.github.io/Logging_1882/tillsynsmail/A 32905-2020 tillsynsbegäran mail.docx", "A 32905-2020")</f>
        <v/>
      </c>
    </row>
    <row r="53" ht="15" customHeight="1">
      <c r="A53" t="inlineStr">
        <is>
          <t>A 34760-2020</t>
        </is>
      </c>
      <c r="B53" s="1" t="n">
        <v>44035</v>
      </c>
      <c r="C53" s="1" t="n">
        <v>45587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34760-2020 artfynd.xlsx", "A 34760-2020")</f>
        <v/>
      </c>
      <c r="T53">
        <f>HYPERLINK("https://klasma.github.io/Logging_1882/kartor/A 34760-2020 karta.png", "A 34760-2020")</f>
        <v/>
      </c>
      <c r="V53">
        <f>HYPERLINK("https://klasma.github.io/Logging_1882/klagomål/A 34760-2020 FSC-klagomål.docx", "A 34760-2020")</f>
        <v/>
      </c>
      <c r="W53">
        <f>HYPERLINK("https://klasma.github.io/Logging_1882/klagomålsmail/A 34760-2020 FSC-klagomål mail.docx", "A 34760-2020")</f>
        <v/>
      </c>
      <c r="X53">
        <f>HYPERLINK("https://klasma.github.io/Logging_1882/tillsyn/A 34760-2020 tillsynsbegäran.docx", "A 34760-2020")</f>
        <v/>
      </c>
      <c r="Y53">
        <f>HYPERLINK("https://klasma.github.io/Logging_1882/tillsynsmail/A 34760-2020 tillsynsbegäran mail.docx", "A 34760-2020")</f>
        <v/>
      </c>
    </row>
    <row r="54" ht="15" customHeight="1">
      <c r="A54" t="inlineStr">
        <is>
          <t>A 39904-2020</t>
        </is>
      </c>
      <c r="B54" s="1" t="n">
        <v>44067</v>
      </c>
      <c r="C54" s="1" t="n">
        <v>45587</v>
      </c>
      <c r="D54" t="inlineStr">
        <is>
          <t>ÖREBRO LÄN</t>
        </is>
      </c>
      <c r="E54" t="inlineStr">
        <is>
          <t>ASKERSUND</t>
        </is>
      </c>
      <c r="G54" t="n">
        <v>8.800000000000001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HYPERLINK("https://klasma.github.io/Logging_1882/artfynd/A 39904-2020 artfynd.xlsx", "A 39904-2020")</f>
        <v/>
      </c>
      <c r="T54">
        <f>HYPERLINK("https://klasma.github.io/Logging_1882/kartor/A 39904-2020 karta.png", "A 39904-2020")</f>
        <v/>
      </c>
      <c r="V54">
        <f>HYPERLINK("https://klasma.github.io/Logging_1882/klagomål/A 39904-2020 FSC-klagomål.docx", "A 39904-2020")</f>
        <v/>
      </c>
      <c r="W54">
        <f>HYPERLINK("https://klasma.github.io/Logging_1882/klagomålsmail/A 39904-2020 FSC-klagomål mail.docx", "A 39904-2020")</f>
        <v/>
      </c>
      <c r="X54">
        <f>HYPERLINK("https://klasma.github.io/Logging_1882/tillsyn/A 39904-2020 tillsynsbegäran.docx", "A 39904-2020")</f>
        <v/>
      </c>
      <c r="Y54">
        <f>HYPERLINK("https://klasma.github.io/Logging_1882/tillsynsmail/A 39904-2020 tillsynsbegäran mail.docx", "A 39904-2020")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45587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39575-2021</t>
        </is>
      </c>
      <c r="B56" s="1" t="n">
        <v>44416</v>
      </c>
      <c r="C56" s="1" t="n">
        <v>45587</v>
      </c>
      <c r="D56" t="inlineStr">
        <is>
          <t>ÖREBRO LÄN</t>
        </is>
      </c>
      <c r="E56" t="inlineStr">
        <is>
          <t>ASKERSUND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39575-2021 artfynd.xlsx", "A 39575-2021")</f>
        <v/>
      </c>
      <c r="T56">
        <f>HYPERLINK("https://klasma.github.io/Logging_1882/kartor/A 39575-2021 karta.png", "A 39575-2021")</f>
        <v/>
      </c>
      <c r="V56">
        <f>HYPERLINK("https://klasma.github.io/Logging_1882/klagomål/A 39575-2021 FSC-klagomål.docx", "A 39575-2021")</f>
        <v/>
      </c>
      <c r="W56">
        <f>HYPERLINK("https://klasma.github.io/Logging_1882/klagomålsmail/A 39575-2021 FSC-klagomål mail.docx", "A 39575-2021")</f>
        <v/>
      </c>
      <c r="X56">
        <f>HYPERLINK("https://klasma.github.io/Logging_1882/tillsyn/A 39575-2021 tillsynsbegäran.docx", "A 39575-2021")</f>
        <v/>
      </c>
      <c r="Y56">
        <f>HYPERLINK("https://klasma.github.io/Logging_1882/tillsynsmail/A 39575-2021 tillsynsbegäran mail.docx", "A 39575-2021")</f>
        <v/>
      </c>
    </row>
    <row r="57" ht="15" customHeight="1">
      <c r="A57" t="inlineStr">
        <is>
          <t>A 48684-2021</t>
        </is>
      </c>
      <c r="B57" s="1" t="n">
        <v>44452</v>
      </c>
      <c r="C57" s="1" t="n">
        <v>45587</v>
      </c>
      <c r="D57" t="inlineStr">
        <is>
          <t>ÖREBRO LÄN</t>
        </is>
      </c>
      <c r="E57" t="inlineStr">
        <is>
          <t>ASKERSUND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48684-2021 artfynd.xlsx", "A 48684-2021")</f>
        <v/>
      </c>
      <c r="T57">
        <f>HYPERLINK("https://klasma.github.io/Logging_1882/kartor/A 48684-2021 karta.png", "A 48684-2021")</f>
        <v/>
      </c>
      <c r="V57">
        <f>HYPERLINK("https://klasma.github.io/Logging_1882/klagomål/A 48684-2021 FSC-klagomål.docx", "A 48684-2021")</f>
        <v/>
      </c>
      <c r="W57">
        <f>HYPERLINK("https://klasma.github.io/Logging_1882/klagomålsmail/A 48684-2021 FSC-klagomål mail.docx", "A 48684-2021")</f>
        <v/>
      </c>
      <c r="X57">
        <f>HYPERLINK("https://klasma.github.io/Logging_1882/tillsyn/A 48684-2021 tillsynsbegäran.docx", "A 48684-2021")</f>
        <v/>
      </c>
      <c r="Y57">
        <f>HYPERLINK("https://klasma.github.io/Logging_1882/tillsynsmail/A 48684-2021 tillsynsbegäran mail.docx", "A 48684-2021")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45587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45587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66339-2021</t>
        </is>
      </c>
      <c r="B60" s="1" t="n">
        <v>44518</v>
      </c>
      <c r="C60" s="1" t="n">
        <v>45587</v>
      </c>
      <c r="D60" t="inlineStr">
        <is>
          <t>ÖREBRO LÄN</t>
        </is>
      </c>
      <c r="E60" t="inlineStr">
        <is>
          <t>ASKERSUND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Gransotdyna</t>
        </is>
      </c>
      <c r="S60">
        <f>HYPERLINK("https://klasma.github.io/Logging_1882/artfynd/A 66339-2021 artfynd.xlsx", "A 66339-2021")</f>
        <v/>
      </c>
      <c r="T60">
        <f>HYPERLINK("https://klasma.github.io/Logging_1882/kartor/A 66339-2021 karta.png", "A 66339-2021")</f>
        <v/>
      </c>
      <c r="V60">
        <f>HYPERLINK("https://klasma.github.io/Logging_1882/klagomål/A 66339-2021 FSC-klagomål.docx", "A 66339-2021")</f>
        <v/>
      </c>
      <c r="W60">
        <f>HYPERLINK("https://klasma.github.io/Logging_1882/klagomålsmail/A 66339-2021 FSC-klagomål mail.docx", "A 66339-2021")</f>
        <v/>
      </c>
      <c r="X60">
        <f>HYPERLINK("https://klasma.github.io/Logging_1882/tillsyn/A 66339-2021 tillsynsbegäran.docx", "A 66339-2021")</f>
        <v/>
      </c>
      <c r="Y60">
        <f>HYPERLINK("https://klasma.github.io/Logging_1882/tillsynsmail/A 66339-2021 tillsynsbegäran mail.docx", "A 66339-2021")</f>
        <v/>
      </c>
    </row>
    <row r="61" ht="15" customHeight="1">
      <c r="A61" t="inlineStr">
        <is>
          <t>A 20197-2022</t>
        </is>
      </c>
      <c r="B61" s="1" t="n">
        <v>44698</v>
      </c>
      <c r="C61" s="1" t="n">
        <v>45587</v>
      </c>
      <c r="D61" t="inlineStr">
        <is>
          <t>ÖREBRO LÄN</t>
        </is>
      </c>
      <c r="E61" t="inlineStr">
        <is>
          <t>ASKERSUND</t>
        </is>
      </c>
      <c r="G61" t="n">
        <v>9.5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20197-2022 artfynd.xlsx", "A 20197-2022")</f>
        <v/>
      </c>
      <c r="T61">
        <f>HYPERLINK("https://klasma.github.io/Logging_1882/kartor/A 20197-2022 karta.png", "A 20197-2022")</f>
        <v/>
      </c>
      <c r="V61">
        <f>HYPERLINK("https://klasma.github.io/Logging_1882/klagomål/A 20197-2022 FSC-klagomål.docx", "A 20197-2022")</f>
        <v/>
      </c>
      <c r="W61">
        <f>HYPERLINK("https://klasma.github.io/Logging_1882/klagomålsmail/A 20197-2022 FSC-klagomål mail.docx", "A 20197-2022")</f>
        <v/>
      </c>
      <c r="X61">
        <f>HYPERLINK("https://klasma.github.io/Logging_1882/tillsyn/A 20197-2022 tillsynsbegäran.docx", "A 20197-2022")</f>
        <v/>
      </c>
      <c r="Y61">
        <f>HYPERLINK("https://klasma.github.io/Logging_1882/tillsynsmail/A 20197-2022 tillsynsbegäran mail.docx", "A 20197-2022")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45587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45587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401-2023</t>
        </is>
      </c>
      <c r="B64" s="1" t="n">
        <v>44929</v>
      </c>
      <c r="C64" s="1" t="n">
        <v>45587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401-2023 artfynd.xlsx", "A 401-2023")</f>
        <v/>
      </c>
      <c r="T64">
        <f>HYPERLINK("https://klasma.github.io/Logging_1882/kartor/A 401-2023 karta.png", "A 401-2023")</f>
        <v/>
      </c>
      <c r="V64">
        <f>HYPERLINK("https://klasma.github.io/Logging_1882/klagomål/A 401-2023 FSC-klagomål.docx", "A 401-2023")</f>
        <v/>
      </c>
      <c r="W64">
        <f>HYPERLINK("https://klasma.github.io/Logging_1882/klagomålsmail/A 401-2023 FSC-klagomål mail.docx", "A 401-2023")</f>
        <v/>
      </c>
      <c r="X64">
        <f>HYPERLINK("https://klasma.github.io/Logging_1882/tillsyn/A 401-2023 tillsynsbegäran.docx", "A 401-2023")</f>
        <v/>
      </c>
      <c r="Y64">
        <f>HYPERLINK("https://klasma.github.io/Logging_1882/tillsynsmail/A 401-2023 tillsynsbegäran mail.docx", "A 401-2023")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45587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45587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45587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45587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45587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45587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45587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45587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44159-2023</t>
        </is>
      </c>
      <c r="B73" s="1" t="n">
        <v>45188</v>
      </c>
      <c r="C73" s="1" t="n">
        <v>45587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HYPERLINK("https://klasma.github.io/Logging_1882/artfynd/A 44159-2023 artfynd.xlsx", "A 44159-2023")</f>
        <v/>
      </c>
      <c r="T73">
        <f>HYPERLINK("https://klasma.github.io/Logging_1882/kartor/A 44159-2023 karta.png", "A 44159-2023")</f>
        <v/>
      </c>
      <c r="U73">
        <f>HYPERLINK("https://klasma.github.io/Logging_1882/knärot/A 44159-2023 karta knärot.png", "A 44159-2023")</f>
        <v/>
      </c>
      <c r="V73">
        <f>HYPERLINK("https://klasma.github.io/Logging_1882/klagomål/A 44159-2023 FSC-klagomål.docx", "A 44159-2023")</f>
        <v/>
      </c>
      <c r="W73">
        <f>HYPERLINK("https://klasma.github.io/Logging_1882/klagomålsmail/A 44159-2023 FSC-klagomål mail.docx", "A 44159-2023")</f>
        <v/>
      </c>
      <c r="X73">
        <f>HYPERLINK("https://klasma.github.io/Logging_1882/tillsyn/A 44159-2023 tillsynsbegäran.docx", "A 44159-2023")</f>
        <v/>
      </c>
      <c r="Y73">
        <f>HYPERLINK("https://klasma.github.io/Logging_1882/tillsynsmail/A 44159-2023 tillsynsbegäran mail.docx", "A 44159-2023")</f>
        <v/>
      </c>
    </row>
    <row r="74" ht="15" customHeight="1">
      <c r="A74" t="inlineStr">
        <is>
          <t>A 53364-2023</t>
        </is>
      </c>
      <c r="B74" s="1" t="n">
        <v>45229</v>
      </c>
      <c r="C74" s="1" t="n">
        <v>45587</v>
      </c>
      <c r="D74" t="inlineStr">
        <is>
          <t>ÖREBRO LÄN</t>
        </is>
      </c>
      <c r="E74" t="inlineStr">
        <is>
          <t>ASKERSUND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blåvinge</t>
        </is>
      </c>
      <c r="S74">
        <f>HYPERLINK("https://klasma.github.io/Logging_1882/artfynd/A 53364-2023 artfynd.xlsx", "A 53364-2023")</f>
        <v/>
      </c>
      <c r="T74">
        <f>HYPERLINK("https://klasma.github.io/Logging_1882/kartor/A 53364-2023 karta.png", "A 53364-2023")</f>
        <v/>
      </c>
      <c r="V74">
        <f>HYPERLINK("https://klasma.github.io/Logging_1882/klagomål/A 53364-2023 FSC-klagomål.docx", "A 53364-2023")</f>
        <v/>
      </c>
      <c r="W74">
        <f>HYPERLINK("https://klasma.github.io/Logging_1882/klagomålsmail/A 53364-2023 FSC-klagomål mail.docx", "A 53364-2023")</f>
        <v/>
      </c>
      <c r="X74">
        <f>HYPERLINK("https://klasma.github.io/Logging_1882/tillsyn/A 53364-2023 tillsynsbegäran.docx", "A 53364-2023")</f>
        <v/>
      </c>
      <c r="Y74">
        <f>HYPERLINK("https://klasma.github.io/Logging_1882/tillsynsmail/A 53364-2023 tillsynsbegäran mail.docx", "A 53364-2023")</f>
        <v/>
      </c>
    </row>
    <row r="75" ht="15" customHeight="1">
      <c r="A75" t="inlineStr">
        <is>
          <t>A 2561-2024</t>
        </is>
      </c>
      <c r="B75" s="1" t="n">
        <v>45313</v>
      </c>
      <c r="C75" s="1" t="n">
        <v>45587</v>
      </c>
      <c r="D75" t="inlineStr">
        <is>
          <t>ÖREBRO LÄN</t>
        </is>
      </c>
      <c r="E75" t="inlineStr">
        <is>
          <t>ASKERSUND</t>
        </is>
      </c>
      <c r="G75" t="n">
        <v>5.4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2561-2024 artfynd.xlsx", "A 2561-2024")</f>
        <v/>
      </c>
      <c r="T75">
        <f>HYPERLINK("https://klasma.github.io/Logging_1882/kartor/A 2561-2024 karta.png", "A 2561-2024")</f>
        <v/>
      </c>
      <c r="V75">
        <f>HYPERLINK("https://klasma.github.io/Logging_1882/klagomål/A 2561-2024 FSC-klagomål.docx", "A 2561-2024")</f>
        <v/>
      </c>
      <c r="W75">
        <f>HYPERLINK("https://klasma.github.io/Logging_1882/klagomålsmail/A 2561-2024 FSC-klagomål mail.docx", "A 2561-2024")</f>
        <v/>
      </c>
      <c r="X75">
        <f>HYPERLINK("https://klasma.github.io/Logging_1882/tillsyn/A 2561-2024 tillsynsbegäran.docx", "A 2561-2024")</f>
        <v/>
      </c>
      <c r="Y75">
        <f>HYPERLINK("https://klasma.github.io/Logging_1882/tillsynsmail/A 2561-2024 tillsynsbegäran mail.docx", "A 2561-2024")</f>
        <v/>
      </c>
    </row>
    <row r="76" ht="15" customHeight="1">
      <c r="A76" t="inlineStr">
        <is>
          <t>A 4508-2024</t>
        </is>
      </c>
      <c r="B76" s="1" t="n">
        <v>45327</v>
      </c>
      <c r="C76" s="1" t="n">
        <v>45587</v>
      </c>
      <c r="D76" t="inlineStr">
        <is>
          <t>ÖREBRO LÄN</t>
        </is>
      </c>
      <c r="E76" t="inlineStr">
        <is>
          <t>ASKERSUND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HYPERLINK("https://klasma.github.io/Logging_1882/artfynd/A 4508-2024 artfynd.xlsx", "A 4508-2024")</f>
        <v/>
      </c>
      <c r="T76">
        <f>HYPERLINK("https://klasma.github.io/Logging_1882/kartor/A 4508-2024 karta.png", "A 4508-2024")</f>
        <v/>
      </c>
      <c r="V76">
        <f>HYPERLINK("https://klasma.github.io/Logging_1882/klagomål/A 4508-2024 FSC-klagomål.docx", "A 4508-2024")</f>
        <v/>
      </c>
      <c r="W76">
        <f>HYPERLINK("https://klasma.github.io/Logging_1882/klagomålsmail/A 4508-2024 FSC-klagomål mail.docx", "A 4508-2024")</f>
        <v/>
      </c>
      <c r="X76">
        <f>HYPERLINK("https://klasma.github.io/Logging_1882/tillsyn/A 4508-2024 tillsynsbegäran.docx", "A 4508-2024")</f>
        <v/>
      </c>
      <c r="Y76">
        <f>HYPERLINK("https://klasma.github.io/Logging_1882/tillsynsmail/A 4508-2024 tillsynsbegäran mail.docx", "A 4508-2024")</f>
        <v/>
      </c>
    </row>
    <row r="77" ht="15" customHeight="1">
      <c r="A77" t="inlineStr">
        <is>
          <t>A 7069-2024</t>
        </is>
      </c>
      <c r="B77" s="1" t="n">
        <v>45343</v>
      </c>
      <c r="C77" s="1" t="n">
        <v>45587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HYPERLINK("https://klasma.github.io/Logging_1882/artfynd/A 7069-2024 artfynd.xlsx", "A 7069-2024")</f>
        <v/>
      </c>
      <c r="T77">
        <f>HYPERLINK("https://klasma.github.io/Logging_1882/kartor/A 7069-2024 karta.png", "A 7069-2024")</f>
        <v/>
      </c>
      <c r="V77">
        <f>HYPERLINK("https://klasma.github.io/Logging_1882/klagomål/A 7069-2024 FSC-klagomål.docx", "A 7069-2024")</f>
        <v/>
      </c>
      <c r="W77">
        <f>HYPERLINK("https://klasma.github.io/Logging_1882/klagomålsmail/A 7069-2024 FSC-klagomål mail.docx", "A 7069-2024")</f>
        <v/>
      </c>
      <c r="X77">
        <f>HYPERLINK("https://klasma.github.io/Logging_1882/tillsyn/A 7069-2024 tillsynsbegäran.docx", "A 7069-2024")</f>
        <v/>
      </c>
      <c r="Y77">
        <f>HYPERLINK("https://klasma.github.io/Logging_1882/tillsynsmail/A 7069-2024 tillsynsbegäran mail.docx", "A 7069-2024")</f>
        <v/>
      </c>
    </row>
    <row r="78" ht="15" customHeight="1">
      <c r="A78" t="inlineStr">
        <is>
          <t>A 16627-2024</t>
        </is>
      </c>
      <c r="B78" s="1" t="n">
        <v>45408</v>
      </c>
      <c r="C78" s="1" t="n">
        <v>45587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16627-2024 artfynd.xlsx", "A 16627-2024")</f>
        <v/>
      </c>
      <c r="T78">
        <f>HYPERLINK("https://klasma.github.io/Logging_1882/kartor/A 16627-2024 karta.png", "A 16627-2024")</f>
        <v/>
      </c>
      <c r="V78">
        <f>HYPERLINK("https://klasma.github.io/Logging_1882/klagomål/A 16627-2024 FSC-klagomål.docx", "A 16627-2024")</f>
        <v/>
      </c>
      <c r="W78">
        <f>HYPERLINK("https://klasma.github.io/Logging_1882/klagomålsmail/A 16627-2024 FSC-klagomål mail.docx", "A 16627-2024")</f>
        <v/>
      </c>
      <c r="X78">
        <f>HYPERLINK("https://klasma.github.io/Logging_1882/tillsyn/A 16627-2024 tillsynsbegäran.docx", "A 16627-2024")</f>
        <v/>
      </c>
      <c r="Y78">
        <f>HYPERLINK("https://klasma.github.io/Logging_1882/tillsynsmail/A 16627-2024 tillsynsbegäran mail.docx", "A 16627-2024")</f>
        <v/>
      </c>
    </row>
    <row r="79" ht="15" customHeight="1">
      <c r="A79" t="inlineStr">
        <is>
          <t>A 22816-2024</t>
        </is>
      </c>
      <c r="B79" s="1" t="n">
        <v>45448</v>
      </c>
      <c r="C79" s="1" t="n">
        <v>45587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HYPERLINK("https://klasma.github.io/Logging_1882/artfynd/A 22816-2024 artfynd.xlsx", "A 22816-2024")</f>
        <v/>
      </c>
      <c r="T79">
        <f>HYPERLINK("https://klasma.github.io/Logging_1882/kartor/A 22816-2024 karta.png", "A 22816-2024")</f>
        <v/>
      </c>
      <c r="V79">
        <f>HYPERLINK("https://klasma.github.io/Logging_1882/klagomål/A 22816-2024 FSC-klagomål.docx", "A 22816-2024")</f>
        <v/>
      </c>
      <c r="W79">
        <f>HYPERLINK("https://klasma.github.io/Logging_1882/klagomålsmail/A 22816-2024 FSC-klagomål mail.docx", "A 22816-2024")</f>
        <v/>
      </c>
      <c r="X79">
        <f>HYPERLINK("https://klasma.github.io/Logging_1882/tillsyn/A 22816-2024 tillsynsbegäran.docx", "A 22816-2024")</f>
        <v/>
      </c>
      <c r="Y79">
        <f>HYPERLINK("https://klasma.github.io/Logging_1882/tillsynsmail/A 22816-2024 tillsynsbegäran mail.docx", "A 22816-2024")</f>
        <v/>
      </c>
    </row>
    <row r="80" ht="15" customHeight="1">
      <c r="A80" t="inlineStr">
        <is>
          <t>A 29119-2024</t>
        </is>
      </c>
      <c r="B80" s="1" t="n">
        <v>45482</v>
      </c>
      <c r="C80" s="1" t="n">
        <v>45587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HYPERLINK("https://klasma.github.io/Logging_1882/artfynd/A 29119-2024 artfynd.xlsx", "A 29119-2024")</f>
        <v/>
      </c>
      <c r="T80">
        <f>HYPERLINK("https://klasma.github.io/Logging_1882/kartor/A 29119-2024 karta.png", "A 29119-2024")</f>
        <v/>
      </c>
      <c r="V80">
        <f>HYPERLINK("https://klasma.github.io/Logging_1882/klagomål/A 29119-2024 FSC-klagomål.docx", "A 29119-2024")</f>
        <v/>
      </c>
      <c r="W80">
        <f>HYPERLINK("https://klasma.github.io/Logging_1882/klagomålsmail/A 29119-2024 FSC-klagomål mail.docx", "A 29119-2024")</f>
        <v/>
      </c>
      <c r="X80">
        <f>HYPERLINK("https://klasma.github.io/Logging_1882/tillsyn/A 29119-2024 tillsynsbegäran.docx", "A 29119-2024")</f>
        <v/>
      </c>
      <c r="Y80">
        <f>HYPERLINK("https://klasma.github.io/Logging_1882/tillsynsmail/A 29119-2024 tillsynsbegäran mail.docx", "A 29119-2024")</f>
        <v/>
      </c>
    </row>
    <row r="81" ht="15" customHeight="1">
      <c r="A81" t="inlineStr">
        <is>
          <t>A 29721-2024</t>
        </is>
      </c>
      <c r="B81" s="1" t="n">
        <v>45485</v>
      </c>
      <c r="C81" s="1" t="n">
        <v>45587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29721-2024 artfynd.xlsx", "A 29721-2024")</f>
        <v/>
      </c>
      <c r="T81">
        <f>HYPERLINK("https://klasma.github.io/Logging_1882/kartor/A 29721-2024 karta.png", "A 29721-2024")</f>
        <v/>
      </c>
      <c r="U81">
        <f>HYPERLINK("https://klasma.github.io/Logging_1882/knärot/A 29721-2024 karta knärot.png", "A 29721-2024")</f>
        <v/>
      </c>
      <c r="V81">
        <f>HYPERLINK("https://klasma.github.io/Logging_1882/klagomål/A 29721-2024 FSC-klagomål.docx", "A 29721-2024")</f>
        <v/>
      </c>
      <c r="W81">
        <f>HYPERLINK("https://klasma.github.io/Logging_1882/klagomålsmail/A 29721-2024 FSC-klagomål mail.docx", "A 29721-2024")</f>
        <v/>
      </c>
      <c r="X81">
        <f>HYPERLINK("https://klasma.github.io/Logging_1882/tillsyn/A 29721-2024 tillsynsbegäran.docx", "A 29721-2024")</f>
        <v/>
      </c>
      <c r="Y81">
        <f>HYPERLINK("https://klasma.github.io/Logging_1882/tillsynsmail/A 29721-2024 tillsynsbegäran mail.docx", "A 29721-2024")</f>
        <v/>
      </c>
    </row>
    <row r="82" ht="15" customHeight="1">
      <c r="A82" t="inlineStr">
        <is>
          <t>A 32037-2024</t>
        </is>
      </c>
      <c r="B82" s="1" t="n">
        <v>45510</v>
      </c>
      <c r="C82" s="1" t="n">
        <v>45587</v>
      </c>
      <c r="D82" t="inlineStr">
        <is>
          <t>ÖREBRO LÄN</t>
        </is>
      </c>
      <c r="E82" t="inlineStr">
        <is>
          <t>ASKERSUND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HYPERLINK("https://klasma.github.io/Logging_1882/artfynd/A 32037-2024 artfynd.xlsx", "A 32037-2024")</f>
        <v/>
      </c>
      <c r="T82">
        <f>HYPERLINK("https://klasma.github.io/Logging_1882/kartor/A 32037-2024 karta.png", "A 32037-2024")</f>
        <v/>
      </c>
      <c r="V82">
        <f>HYPERLINK("https://klasma.github.io/Logging_1882/klagomål/A 32037-2024 FSC-klagomål.docx", "A 32037-2024")</f>
        <v/>
      </c>
      <c r="W82">
        <f>HYPERLINK("https://klasma.github.io/Logging_1882/klagomålsmail/A 32037-2024 FSC-klagomål mail.docx", "A 32037-2024")</f>
        <v/>
      </c>
      <c r="X82">
        <f>HYPERLINK("https://klasma.github.io/Logging_1882/tillsyn/A 32037-2024 tillsynsbegäran.docx", "A 32037-2024")</f>
        <v/>
      </c>
      <c r="Y82">
        <f>HYPERLINK("https://klasma.github.io/Logging_1882/tillsynsmail/A 32037-2024 tillsynsbegäran mail.docx", "A 32037-2024")</f>
        <v/>
      </c>
    </row>
    <row r="83" ht="15" customHeight="1">
      <c r="A83" t="inlineStr">
        <is>
          <t>A 33415-2024</t>
        </is>
      </c>
      <c r="B83" s="1" t="n">
        <v>45519</v>
      </c>
      <c r="C83" s="1" t="n">
        <v>45587</v>
      </c>
      <c r="D83" t="inlineStr">
        <is>
          <t>ÖREBRO LÄN</t>
        </is>
      </c>
      <c r="E83" t="inlineStr">
        <is>
          <t>ASKERSUND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Rävticka</t>
        </is>
      </c>
      <c r="S83">
        <f>HYPERLINK("https://klasma.github.io/Logging_1882/artfynd/A 33415-2024 artfynd.xlsx", "A 33415-2024")</f>
        <v/>
      </c>
      <c r="T83">
        <f>HYPERLINK("https://klasma.github.io/Logging_1882/kartor/A 33415-2024 karta.png", "A 33415-2024")</f>
        <v/>
      </c>
      <c r="V83">
        <f>HYPERLINK("https://klasma.github.io/Logging_1882/klagomål/A 33415-2024 FSC-klagomål.docx", "A 33415-2024")</f>
        <v/>
      </c>
      <c r="W83">
        <f>HYPERLINK("https://klasma.github.io/Logging_1882/klagomålsmail/A 33415-2024 FSC-klagomål mail.docx", "A 33415-2024")</f>
        <v/>
      </c>
      <c r="X83">
        <f>HYPERLINK("https://klasma.github.io/Logging_1882/tillsyn/A 33415-2024 tillsynsbegäran.docx", "A 33415-2024")</f>
        <v/>
      </c>
      <c r="Y83">
        <f>HYPERLINK("https://klasma.github.io/Logging_1882/tillsynsmail/A 33415-2024 tillsynsbegäran mail.docx", "A 33415-2024")</f>
        <v/>
      </c>
    </row>
    <row r="84" ht="15" customHeight="1">
      <c r="A84" t="inlineStr">
        <is>
          <t>A 34515-2024</t>
        </is>
      </c>
      <c r="B84" s="1" t="n">
        <v>45525</v>
      </c>
      <c r="C84" s="1" t="n">
        <v>45587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HYPERLINK("https://klasma.github.io/Logging_1882/artfynd/A 34515-2024 artfynd.xlsx", "A 34515-2024")</f>
        <v/>
      </c>
      <c r="T84">
        <f>HYPERLINK("https://klasma.github.io/Logging_1882/kartor/A 34515-2024 karta.png", "A 34515-2024")</f>
        <v/>
      </c>
      <c r="V84">
        <f>HYPERLINK("https://klasma.github.io/Logging_1882/klagomål/A 34515-2024 FSC-klagomål.docx", "A 34515-2024")</f>
        <v/>
      </c>
      <c r="W84">
        <f>HYPERLINK("https://klasma.github.io/Logging_1882/klagomålsmail/A 34515-2024 FSC-klagomål mail.docx", "A 34515-2024")</f>
        <v/>
      </c>
      <c r="X84">
        <f>HYPERLINK("https://klasma.github.io/Logging_1882/tillsyn/A 34515-2024 tillsynsbegäran.docx", "A 34515-2024")</f>
        <v/>
      </c>
      <c r="Y84">
        <f>HYPERLINK("https://klasma.github.io/Logging_1882/tillsynsmail/A 34515-2024 tillsynsbegäran mail.docx", "A 34515-2024")</f>
        <v/>
      </c>
      <c r="Z84">
        <f>HYPERLINK("https://klasma.github.io/Logging_1882/fåglar/A 34515-2024 prioriterade fågelarter.docx", "A 34515-2024")</f>
        <v/>
      </c>
    </row>
    <row r="85" ht="15" customHeight="1">
      <c r="A85" t="inlineStr">
        <is>
          <t>A 41135-2024</t>
        </is>
      </c>
      <c r="B85" s="1" t="n">
        <v>45559</v>
      </c>
      <c r="C85" s="1" t="n">
        <v>45587</v>
      </c>
      <c r="D85" t="inlineStr">
        <is>
          <t>ÖREBRO LÄN</t>
        </is>
      </c>
      <c r="E85" t="inlineStr">
        <is>
          <t>ASKERSUND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HYPERLINK("https://klasma.github.io/Logging_1882/artfynd/A 41135-2024 artfynd.xlsx", "A 41135-2024")</f>
        <v/>
      </c>
      <c r="T85">
        <f>HYPERLINK("https://klasma.github.io/Logging_1882/kartor/A 41135-2024 karta.png", "A 41135-2024")</f>
        <v/>
      </c>
      <c r="V85">
        <f>HYPERLINK("https://klasma.github.io/Logging_1882/klagomål/A 41135-2024 FSC-klagomål.docx", "A 41135-2024")</f>
        <v/>
      </c>
      <c r="W85">
        <f>HYPERLINK("https://klasma.github.io/Logging_1882/klagomålsmail/A 41135-2024 FSC-klagomål mail.docx", "A 41135-2024")</f>
        <v/>
      </c>
      <c r="X85">
        <f>HYPERLINK("https://klasma.github.io/Logging_1882/tillsyn/A 41135-2024 tillsynsbegäran.docx", "A 41135-2024")</f>
        <v/>
      </c>
      <c r="Y85">
        <f>HYPERLINK("https://klasma.github.io/Logging_1882/tillsynsmail/A 41135-2024 tillsynsbegäran mail.docx", "A 41135-2024")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45587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44891-2024</t>
        </is>
      </c>
      <c r="B87" s="1" t="n">
        <v>45575</v>
      </c>
      <c r="C87" s="1" t="n">
        <v>45587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HYPERLINK("https://klasma.github.io/Logging_1882/artfynd/A 44891-2024 artfynd.xlsx", "A 44891-2024")</f>
        <v/>
      </c>
      <c r="T87">
        <f>HYPERLINK("https://klasma.github.io/Logging_1882/kartor/A 44891-2024 karta.png", "A 44891-2024")</f>
        <v/>
      </c>
      <c r="V87">
        <f>HYPERLINK("https://klasma.github.io/Logging_1882/klagomål/A 44891-2024 FSC-klagomål.docx", "A 44891-2024")</f>
        <v/>
      </c>
      <c r="W87">
        <f>HYPERLINK("https://klasma.github.io/Logging_1882/klagomålsmail/A 44891-2024 FSC-klagomål mail.docx", "A 44891-2024")</f>
        <v/>
      </c>
      <c r="X87">
        <f>HYPERLINK("https://klasma.github.io/Logging_1882/tillsyn/A 44891-2024 tillsynsbegäran.docx", "A 44891-2024")</f>
        <v/>
      </c>
      <c r="Y87">
        <f>HYPERLINK("https://klasma.github.io/Logging_1882/tillsynsmail/A 44891-2024 tillsynsbegäran mail.docx", "A 44891-2024")</f>
        <v/>
      </c>
    </row>
    <row r="88" ht="15" customHeight="1">
      <c r="A88" t="inlineStr">
        <is>
          <t>A 17995-2019</t>
        </is>
      </c>
      <c r="B88" s="1" t="n">
        <v>43556</v>
      </c>
      <c r="C88" s="1" t="n">
        <v>45587</v>
      </c>
      <c r="D88" t="inlineStr">
        <is>
          <t>ÖREBRO LÄN</t>
        </is>
      </c>
      <c r="E88" t="inlineStr">
        <is>
          <t>ASKERSUND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18193-2019</t>
        </is>
      </c>
      <c r="B89" s="1" t="n">
        <v>43558</v>
      </c>
      <c r="C89" s="1" t="n">
        <v>45587</v>
      </c>
      <c r="D89" t="inlineStr">
        <is>
          <t>ÖREBRO LÄN</t>
        </is>
      </c>
      <c r="E89" t="inlineStr">
        <is>
          <t>ASKERSUND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18702-2019</t>
        </is>
      </c>
      <c r="B90" s="1" t="n">
        <v>43558</v>
      </c>
      <c r="C90" s="1" t="n">
        <v>45587</v>
      </c>
      <c r="D90" t="inlineStr">
        <is>
          <t>ÖREBRO LÄN</t>
        </is>
      </c>
      <c r="E90" t="inlineStr">
        <is>
          <t>ASKERSUND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20120-2019</t>
        </is>
      </c>
      <c r="B91" s="1" t="n">
        <v>43570</v>
      </c>
      <c r="C91" s="1" t="n">
        <v>45587</v>
      </c>
      <c r="D91" t="inlineStr">
        <is>
          <t>ÖREBRO LÄN</t>
        </is>
      </c>
      <c r="E91" t="inlineStr">
        <is>
          <t>ASKERSUND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22634-2019</t>
        </is>
      </c>
      <c r="B92" s="1" t="n">
        <v>43588</v>
      </c>
      <c r="C92" s="1" t="n">
        <v>45587</v>
      </c>
      <c r="D92" t="inlineStr">
        <is>
          <t>ÖREBRO LÄN</t>
        </is>
      </c>
      <c r="E92" t="inlineStr">
        <is>
          <t>ASKERSUND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23132-2019</t>
        </is>
      </c>
      <c r="B93" s="1" t="n">
        <v>43592</v>
      </c>
      <c r="C93" s="1" t="n">
        <v>45587</v>
      </c>
      <c r="D93" t="inlineStr">
        <is>
          <t>ÖREBRO LÄN</t>
        </is>
      </c>
      <c r="E93" t="inlineStr">
        <is>
          <t>ASKERSUND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23504-2019</t>
        </is>
      </c>
      <c r="B94" s="1" t="n">
        <v>43594</v>
      </c>
      <c r="C94" s="1" t="n">
        <v>45587</v>
      </c>
      <c r="D94" t="inlineStr">
        <is>
          <t>ÖREBRO LÄN</t>
        </is>
      </c>
      <c r="E94" t="inlineStr">
        <is>
          <t>ASKERSUND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24112-2019</t>
        </is>
      </c>
      <c r="B95" s="1" t="n">
        <v>43598</v>
      </c>
      <c r="C95" s="1" t="n">
        <v>45587</v>
      </c>
      <c r="D95" t="inlineStr">
        <is>
          <t>ÖREBRO LÄN</t>
        </is>
      </c>
      <c r="E95" t="inlineStr">
        <is>
          <t>ASKERSUND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25825-2019</t>
        </is>
      </c>
      <c r="B96" s="1" t="n">
        <v>43608</v>
      </c>
      <c r="C96" s="1" t="n">
        <v>45587</v>
      </c>
      <c r="D96" t="inlineStr">
        <is>
          <t>ÖREBRO LÄN</t>
        </is>
      </c>
      <c r="E96" t="inlineStr">
        <is>
          <t>ASKERSUND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35540-2019</t>
        </is>
      </c>
      <c r="B97" s="1" t="n">
        <v>43655</v>
      </c>
      <c r="C97" s="1" t="n">
        <v>45587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34157-2019</t>
        </is>
      </c>
      <c r="B98" s="1" t="n">
        <v>43655</v>
      </c>
      <c r="C98" s="1" t="n">
        <v>45587</v>
      </c>
      <c r="D98" t="inlineStr">
        <is>
          <t>ÖREBRO LÄN</t>
        </is>
      </c>
      <c r="E98" t="inlineStr">
        <is>
          <t>ASKERSUND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35544-2019</t>
        </is>
      </c>
      <c r="B99" s="1" t="n">
        <v>43655</v>
      </c>
      <c r="C99" s="1" t="n">
        <v>45587</v>
      </c>
      <c r="D99" t="inlineStr">
        <is>
          <t>ÖREBRO LÄN</t>
        </is>
      </c>
      <c r="E99" t="inlineStr">
        <is>
          <t>ASKERSUND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35536-2019</t>
        </is>
      </c>
      <c r="B100" s="1" t="n">
        <v>43655</v>
      </c>
      <c r="C100" s="1" t="n">
        <v>45587</v>
      </c>
      <c r="D100" t="inlineStr">
        <is>
          <t>ÖREBRO LÄN</t>
        </is>
      </c>
      <c r="E100" t="inlineStr">
        <is>
          <t>ASKERSUND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36752-2019</t>
        </is>
      </c>
      <c r="B101" s="1" t="n">
        <v>43672</v>
      </c>
      <c r="C101" s="1" t="n">
        <v>45587</v>
      </c>
      <c r="D101" t="inlineStr">
        <is>
          <t>ÖREBRO LÄN</t>
        </is>
      </c>
      <c r="E101" t="inlineStr">
        <is>
          <t>ASKERSUND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37066-2019</t>
        </is>
      </c>
      <c r="B102" s="1" t="n">
        <v>43676</v>
      </c>
      <c r="C102" s="1" t="n">
        <v>45587</v>
      </c>
      <c r="D102" t="inlineStr">
        <is>
          <t>ÖREBRO LÄN</t>
        </is>
      </c>
      <c r="E102" t="inlineStr">
        <is>
          <t>ASKERSUND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37789-2019</t>
        </is>
      </c>
      <c r="B103" s="1" t="n">
        <v>43682</v>
      </c>
      <c r="C103" s="1" t="n">
        <v>45587</v>
      </c>
      <c r="D103" t="inlineStr">
        <is>
          <t>ÖREBRO LÄN</t>
        </is>
      </c>
      <c r="E103" t="inlineStr">
        <is>
          <t>ASKERSUND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37840-2019</t>
        </is>
      </c>
      <c r="B104" s="1" t="n">
        <v>43682</v>
      </c>
      <c r="C104" s="1" t="n">
        <v>45587</v>
      </c>
      <c r="D104" t="inlineStr">
        <is>
          <t>ÖREBRO LÄN</t>
        </is>
      </c>
      <c r="E104" t="inlineStr">
        <is>
          <t>ASKERSUND</t>
        </is>
      </c>
      <c r="G104" t="n">
        <v>16.2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37794-2019</t>
        </is>
      </c>
      <c r="B105" s="1" t="n">
        <v>43682</v>
      </c>
      <c r="C105" s="1" t="n">
        <v>45587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38246-2019</t>
        </is>
      </c>
      <c r="B106" s="1" t="n">
        <v>43684</v>
      </c>
      <c r="C106" s="1" t="n">
        <v>45587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38257-2019</t>
        </is>
      </c>
      <c r="B107" s="1" t="n">
        <v>43684</v>
      </c>
      <c r="C107" s="1" t="n">
        <v>45587</v>
      </c>
      <c r="D107" t="inlineStr">
        <is>
          <t>ÖREBRO LÄN</t>
        </is>
      </c>
      <c r="E107" t="inlineStr">
        <is>
          <t>ASKERSUND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39186-2019</t>
        </is>
      </c>
      <c r="B108" s="1" t="n">
        <v>43690</v>
      </c>
      <c r="C108" s="1" t="n">
        <v>45587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39520-2019</t>
        </is>
      </c>
      <c r="B109" s="1" t="n">
        <v>43691</v>
      </c>
      <c r="C109" s="1" t="n">
        <v>45587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39517-2019</t>
        </is>
      </c>
      <c r="B110" s="1" t="n">
        <v>43691</v>
      </c>
      <c r="C110" s="1" t="n">
        <v>45587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39516-2019</t>
        </is>
      </c>
      <c r="B111" s="1" t="n">
        <v>43691</v>
      </c>
      <c r="C111" s="1" t="n">
        <v>45587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40161-2019</t>
        </is>
      </c>
      <c r="B112" s="1" t="n">
        <v>43693</v>
      </c>
      <c r="C112" s="1" t="n">
        <v>45587</v>
      </c>
      <c r="D112" t="inlineStr">
        <is>
          <t>ÖREBRO LÄN</t>
        </is>
      </c>
      <c r="E112" t="inlineStr">
        <is>
          <t>ASKERSUND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40155-2019</t>
        </is>
      </c>
      <c r="B113" s="1" t="n">
        <v>43693</v>
      </c>
      <c r="C113" s="1" t="n">
        <v>45587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40580-2019</t>
        </is>
      </c>
      <c r="B114" s="1" t="n">
        <v>43696</v>
      </c>
      <c r="C114" s="1" t="n">
        <v>45587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40579-2019</t>
        </is>
      </c>
      <c r="B115" s="1" t="n">
        <v>43696</v>
      </c>
      <c r="C115" s="1" t="n">
        <v>45587</v>
      </c>
      <c r="D115" t="inlineStr">
        <is>
          <t>ÖREBRO LÄN</t>
        </is>
      </c>
      <c r="E115" t="inlineStr">
        <is>
          <t>ASKERSUND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40968-2019</t>
        </is>
      </c>
      <c r="B116" s="1" t="n">
        <v>43697</v>
      </c>
      <c r="C116" s="1" t="n">
        <v>45587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41159-2019</t>
        </is>
      </c>
      <c r="B117" s="1" t="n">
        <v>43698</v>
      </c>
      <c r="C117" s="1" t="n">
        <v>45587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41857-2019</t>
        </is>
      </c>
      <c r="B118" s="1" t="n">
        <v>43700</v>
      </c>
      <c r="C118" s="1" t="n">
        <v>45587</v>
      </c>
      <c r="D118" t="inlineStr">
        <is>
          <t>ÖREBRO LÄN</t>
        </is>
      </c>
      <c r="E118" t="inlineStr">
        <is>
          <t>ASKERSUND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43257-2019</t>
        </is>
      </c>
      <c r="B119" s="1" t="n">
        <v>43706</v>
      </c>
      <c r="C119" s="1" t="n">
        <v>45587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43266-2019</t>
        </is>
      </c>
      <c r="B120" s="1" t="n">
        <v>43706</v>
      </c>
      <c r="C120" s="1" t="n">
        <v>45587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43263-2019</t>
        </is>
      </c>
      <c r="B121" s="1" t="n">
        <v>43706</v>
      </c>
      <c r="C121" s="1" t="n">
        <v>45587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43326-2019</t>
        </is>
      </c>
      <c r="B122" s="1" t="n">
        <v>43706</v>
      </c>
      <c r="C122" s="1" t="n">
        <v>45587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43342-2019</t>
        </is>
      </c>
      <c r="B123" s="1" t="n">
        <v>43706</v>
      </c>
      <c r="C123" s="1" t="n">
        <v>45587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43420-2019</t>
        </is>
      </c>
      <c r="B124" s="1" t="n">
        <v>43706</v>
      </c>
      <c r="C124" s="1" t="n">
        <v>45587</v>
      </c>
      <c r="D124" t="inlineStr">
        <is>
          <t>ÖREBRO LÄN</t>
        </is>
      </c>
      <c r="E124" t="inlineStr">
        <is>
          <t>ASKERSUND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43345-2019</t>
        </is>
      </c>
      <c r="B125" s="1" t="n">
        <v>43706</v>
      </c>
      <c r="C125" s="1" t="n">
        <v>45587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43268-2019</t>
        </is>
      </c>
      <c r="B126" s="1" t="n">
        <v>43706</v>
      </c>
      <c r="C126" s="1" t="n">
        <v>45587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43303-2019</t>
        </is>
      </c>
      <c r="B127" s="1" t="n">
        <v>43706</v>
      </c>
      <c r="C127" s="1" t="n">
        <v>45587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43338-2019</t>
        </is>
      </c>
      <c r="B128" s="1" t="n">
        <v>43706</v>
      </c>
      <c r="C128" s="1" t="n">
        <v>45587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43316-2019</t>
        </is>
      </c>
      <c r="B129" s="1" t="n">
        <v>43706</v>
      </c>
      <c r="C129" s="1" t="n">
        <v>45587</v>
      </c>
      <c r="D129" t="inlineStr">
        <is>
          <t>ÖREBRO LÄN</t>
        </is>
      </c>
      <c r="E129" t="inlineStr">
        <is>
          <t>ASKERSUND</t>
        </is>
      </c>
      <c r="F129" t="inlineStr">
        <is>
          <t>Övriga Aktiebolag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43820-2019</t>
        </is>
      </c>
      <c r="B130" s="1" t="n">
        <v>43707</v>
      </c>
      <c r="C130" s="1" t="n">
        <v>45587</v>
      </c>
      <c r="D130" t="inlineStr">
        <is>
          <t>ÖREBRO LÄN</t>
        </is>
      </c>
      <c r="E130" t="inlineStr">
        <is>
          <t>ASKERSUND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44431-2019</t>
        </is>
      </c>
      <c r="B131" s="1" t="n">
        <v>43711</v>
      </c>
      <c r="C131" s="1" t="n">
        <v>45587</v>
      </c>
      <c r="D131" t="inlineStr">
        <is>
          <t>ÖREBRO LÄN</t>
        </is>
      </c>
      <c r="E131" t="inlineStr">
        <is>
          <t>ASKERSUND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44655-2019</t>
        </is>
      </c>
      <c r="B132" s="1" t="n">
        <v>43712</v>
      </c>
      <c r="C132" s="1" t="n">
        <v>45587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46932-2019</t>
        </is>
      </c>
      <c r="B133" s="1" t="n">
        <v>43720</v>
      </c>
      <c r="C133" s="1" t="n">
        <v>45587</v>
      </c>
      <c r="D133" t="inlineStr">
        <is>
          <t>ÖREBRO LÄN</t>
        </is>
      </c>
      <c r="E133" t="inlineStr">
        <is>
          <t>ASKERSUND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47786-2019</t>
        </is>
      </c>
      <c r="B134" s="1" t="n">
        <v>43724</v>
      </c>
      <c r="C134" s="1" t="n">
        <v>45587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48995-2019</t>
        </is>
      </c>
      <c r="B135" s="1" t="n">
        <v>43730</v>
      </c>
      <c r="C135" s="1" t="n">
        <v>45587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49330-2019</t>
        </is>
      </c>
      <c r="B136" s="1" t="n">
        <v>43731</v>
      </c>
      <c r="C136" s="1" t="n">
        <v>45587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49724-2019</t>
        </is>
      </c>
      <c r="B137" s="1" t="n">
        <v>43733</v>
      </c>
      <c r="C137" s="1" t="n">
        <v>45587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50527-2019</t>
        </is>
      </c>
      <c r="B138" s="1" t="n">
        <v>43735</v>
      </c>
      <c r="C138" s="1" t="n">
        <v>45587</v>
      </c>
      <c r="D138" t="inlineStr">
        <is>
          <t>ÖREBRO LÄN</t>
        </is>
      </c>
      <c r="E138" t="inlineStr">
        <is>
          <t>ASKERSUND</t>
        </is>
      </c>
      <c r="F138" t="inlineStr">
        <is>
          <t>Kommuner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52760-2019</t>
        </is>
      </c>
      <c r="B139" s="1" t="n">
        <v>43739</v>
      </c>
      <c r="C139" s="1" t="n">
        <v>45587</v>
      </c>
      <c r="D139" t="inlineStr">
        <is>
          <t>ÖREBRO LÄN</t>
        </is>
      </c>
      <c r="E139" t="inlineStr">
        <is>
          <t>ASKERSUND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51781-2019</t>
        </is>
      </c>
      <c r="B140" s="1" t="n">
        <v>43741</v>
      </c>
      <c r="C140" s="1" t="n">
        <v>45587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52804-2019</t>
        </is>
      </c>
      <c r="B141" s="1" t="n">
        <v>43746</v>
      </c>
      <c r="C141" s="1" t="n">
        <v>45587</v>
      </c>
      <c r="D141" t="inlineStr">
        <is>
          <t>ÖREBRO LÄN</t>
        </is>
      </c>
      <c r="E141" t="inlineStr">
        <is>
          <t>ASKERSUND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53382-2019</t>
        </is>
      </c>
      <c r="B142" s="1" t="n">
        <v>43748</v>
      </c>
      <c r="C142" s="1" t="n">
        <v>45587</v>
      </c>
      <c r="D142" t="inlineStr">
        <is>
          <t>ÖREBRO LÄN</t>
        </is>
      </c>
      <c r="E142" t="inlineStr">
        <is>
          <t>ASKERSUND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53723-2019</t>
        </is>
      </c>
      <c r="B143" s="1" t="n">
        <v>43749</v>
      </c>
      <c r="C143" s="1" t="n">
        <v>45587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54886-2019</t>
        </is>
      </c>
      <c r="B144" s="1" t="n">
        <v>43749</v>
      </c>
      <c r="C144" s="1" t="n">
        <v>45587</v>
      </c>
      <c r="D144" t="inlineStr">
        <is>
          <t>ÖREBRO LÄN</t>
        </is>
      </c>
      <c r="E144" t="inlineStr">
        <is>
          <t>ASKERSUND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54710-2019</t>
        </is>
      </c>
      <c r="B145" s="1" t="n">
        <v>43755</v>
      </c>
      <c r="C145" s="1" t="n">
        <v>45587</v>
      </c>
      <c r="D145" t="inlineStr">
        <is>
          <t>ÖREBRO LÄN</t>
        </is>
      </c>
      <c r="E145" t="inlineStr">
        <is>
          <t>ASKERSUND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55384-2019</t>
        </is>
      </c>
      <c r="B146" s="1" t="n">
        <v>43755</v>
      </c>
      <c r="C146" s="1" t="n">
        <v>45587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55383-2019</t>
        </is>
      </c>
      <c r="B147" s="1" t="n">
        <v>43755</v>
      </c>
      <c r="C147" s="1" t="n">
        <v>45587</v>
      </c>
      <c r="D147" t="inlineStr">
        <is>
          <t>ÖREBRO LÄN</t>
        </is>
      </c>
      <c r="E147" t="inlineStr">
        <is>
          <t>ASKERSUND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55060-2019</t>
        </is>
      </c>
      <c r="B148" s="1" t="n">
        <v>43756</v>
      </c>
      <c r="C148" s="1" t="n">
        <v>45587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55244-2019</t>
        </is>
      </c>
      <c r="B149" s="1" t="n">
        <v>43756</v>
      </c>
      <c r="C149" s="1" t="n">
        <v>45587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55753-2019</t>
        </is>
      </c>
      <c r="B150" s="1" t="n">
        <v>43759</v>
      </c>
      <c r="C150" s="1" t="n">
        <v>45587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56647-2019</t>
        </is>
      </c>
      <c r="B151" s="1" t="n">
        <v>43763</v>
      </c>
      <c r="C151" s="1" t="n">
        <v>45587</v>
      </c>
      <c r="D151" t="inlineStr">
        <is>
          <t>ÖREBRO LÄN</t>
        </is>
      </c>
      <c r="E151" t="inlineStr">
        <is>
          <t>ASKERSUND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57584-2019</t>
        </is>
      </c>
      <c r="B152" s="1" t="n">
        <v>43768</v>
      </c>
      <c r="C152" s="1" t="n">
        <v>45587</v>
      </c>
      <c r="D152" t="inlineStr">
        <is>
          <t>ÖREBRO LÄN</t>
        </is>
      </c>
      <c r="E152" t="inlineStr">
        <is>
          <t>ASKERSUND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58621-2019</t>
        </is>
      </c>
      <c r="B153" s="1" t="n">
        <v>43773</v>
      </c>
      <c r="C153" s="1" t="n">
        <v>45587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58623-2019</t>
        </is>
      </c>
      <c r="B154" s="1" t="n">
        <v>43773</v>
      </c>
      <c r="C154" s="1" t="n">
        <v>45587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59012-2019</t>
        </is>
      </c>
      <c r="B155" s="1" t="n">
        <v>43774</v>
      </c>
      <c r="C155" s="1" t="n">
        <v>45587</v>
      </c>
      <c r="D155" t="inlineStr">
        <is>
          <t>ÖREBRO LÄN</t>
        </is>
      </c>
      <c r="E155" t="inlineStr">
        <is>
          <t>ASKERSUND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59356-2019</t>
        </is>
      </c>
      <c r="B156" s="1" t="n">
        <v>43775</v>
      </c>
      <c r="C156" s="1" t="n">
        <v>45587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60183-2019</t>
        </is>
      </c>
      <c r="B157" s="1" t="n">
        <v>43780</v>
      </c>
      <c r="C157" s="1" t="n">
        <v>45587</v>
      </c>
      <c r="D157" t="inlineStr">
        <is>
          <t>ÖREBRO LÄN</t>
        </is>
      </c>
      <c r="E157" t="inlineStr">
        <is>
          <t>ASKERSUND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60435-2019</t>
        </is>
      </c>
      <c r="B158" s="1" t="n">
        <v>43780</v>
      </c>
      <c r="C158" s="1" t="n">
        <v>45587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61639-2019</t>
        </is>
      </c>
      <c r="B159" s="1" t="n">
        <v>43784</v>
      </c>
      <c r="C159" s="1" t="n">
        <v>45587</v>
      </c>
      <c r="D159" t="inlineStr">
        <is>
          <t>ÖREBRO LÄN</t>
        </is>
      </c>
      <c r="E159" t="inlineStr">
        <is>
          <t>ASKERSUND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62012-2019</t>
        </is>
      </c>
      <c r="B160" s="1" t="n">
        <v>43787</v>
      </c>
      <c r="C160" s="1" t="n">
        <v>45587</v>
      </c>
      <c r="D160" t="inlineStr">
        <is>
          <t>ÖREBRO LÄN</t>
        </is>
      </c>
      <c r="E160" t="inlineStr">
        <is>
          <t>ASKERSUND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62102-2019</t>
        </is>
      </c>
      <c r="B161" s="1" t="n">
        <v>43787</v>
      </c>
      <c r="C161" s="1" t="n">
        <v>45587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62789-2019</t>
        </is>
      </c>
      <c r="B162" s="1" t="n">
        <v>43790</v>
      </c>
      <c r="C162" s="1" t="n">
        <v>45587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62770-2019</t>
        </is>
      </c>
      <c r="B163" s="1" t="n">
        <v>43790</v>
      </c>
      <c r="C163" s="1" t="n">
        <v>45587</v>
      </c>
      <c r="D163" t="inlineStr">
        <is>
          <t>ÖREBRO LÄN</t>
        </is>
      </c>
      <c r="E163" t="inlineStr">
        <is>
          <t>ASKERSUND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63502-2019</t>
        </is>
      </c>
      <c r="B164" s="1" t="n">
        <v>43794</v>
      </c>
      <c r="C164" s="1" t="n">
        <v>45587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63499-2019</t>
        </is>
      </c>
      <c r="B165" s="1" t="n">
        <v>43794</v>
      </c>
      <c r="C165" s="1" t="n">
        <v>45587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64917-2019</t>
        </is>
      </c>
      <c r="B166" s="1" t="n">
        <v>43801</v>
      </c>
      <c r="C166" s="1" t="n">
        <v>45587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64883-2019</t>
        </is>
      </c>
      <c r="B167" s="1" t="n">
        <v>43801</v>
      </c>
      <c r="C167" s="1" t="n">
        <v>45587</v>
      </c>
      <c r="D167" t="inlineStr">
        <is>
          <t>ÖREBRO LÄN</t>
        </is>
      </c>
      <c r="E167" t="inlineStr">
        <is>
          <t>ASKERSUND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65486-2019</t>
        </is>
      </c>
      <c r="B168" s="1" t="n">
        <v>43803</v>
      </c>
      <c r="C168" s="1" t="n">
        <v>45587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65488-2019</t>
        </is>
      </c>
      <c r="B169" s="1" t="n">
        <v>43803</v>
      </c>
      <c r="C169" s="1" t="n">
        <v>45587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67029-2019</t>
        </is>
      </c>
      <c r="B170" s="1" t="n">
        <v>43811</v>
      </c>
      <c r="C170" s="1" t="n">
        <v>45587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1012-2020</t>
        </is>
      </c>
      <c r="B171" s="1" t="n">
        <v>43839</v>
      </c>
      <c r="C171" s="1" t="n">
        <v>45587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1174-2020</t>
        </is>
      </c>
      <c r="B172" s="1" t="n">
        <v>43840</v>
      </c>
      <c r="C172" s="1" t="n">
        <v>45587</v>
      </c>
      <c r="D172" t="inlineStr">
        <is>
          <t>ÖREBRO LÄN</t>
        </is>
      </c>
      <c r="E172" t="inlineStr">
        <is>
          <t>ASKERSUND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3154-2020</t>
        </is>
      </c>
      <c r="B173" s="1" t="n">
        <v>43843</v>
      </c>
      <c r="C173" s="1" t="n">
        <v>45587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1651-2020</t>
        </is>
      </c>
      <c r="B174" s="1" t="n">
        <v>43844</v>
      </c>
      <c r="C174" s="1" t="n">
        <v>45587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2784-2020</t>
        </is>
      </c>
      <c r="B175" s="1" t="n">
        <v>43850</v>
      </c>
      <c r="C175" s="1" t="n">
        <v>45587</v>
      </c>
      <c r="D175" t="inlineStr">
        <is>
          <t>ÖREBRO LÄN</t>
        </is>
      </c>
      <c r="E175" t="inlineStr">
        <is>
          <t>ASKERSUND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4686-2020</t>
        </is>
      </c>
      <c r="B176" s="1" t="n">
        <v>43852</v>
      </c>
      <c r="C176" s="1" t="n">
        <v>45587</v>
      </c>
      <c r="D176" t="inlineStr">
        <is>
          <t>ÖREBRO LÄN</t>
        </is>
      </c>
      <c r="E176" t="inlineStr">
        <is>
          <t>ASKERSUND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4846-2020</t>
        </is>
      </c>
      <c r="B177" s="1" t="n">
        <v>43852</v>
      </c>
      <c r="C177" s="1" t="n">
        <v>45587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5696-2020</t>
        </is>
      </c>
      <c r="B178" s="1" t="n">
        <v>43861</v>
      </c>
      <c r="C178" s="1" t="n">
        <v>45587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5722-2020</t>
        </is>
      </c>
      <c r="B179" s="1" t="n">
        <v>43862</v>
      </c>
      <c r="C179" s="1" t="n">
        <v>45587</v>
      </c>
      <c r="D179" t="inlineStr">
        <is>
          <t>ÖREBRO LÄN</t>
        </is>
      </c>
      <c r="E179" t="inlineStr">
        <is>
          <t>ASKERSUND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9501-2020</t>
        </is>
      </c>
      <c r="B180" s="1" t="n">
        <v>43880</v>
      </c>
      <c r="C180" s="1" t="n">
        <v>45587</v>
      </c>
      <c r="D180" t="inlineStr">
        <is>
          <t>ÖREBRO LÄN</t>
        </is>
      </c>
      <c r="E180" t="inlineStr">
        <is>
          <t>ASKERSUND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10089-2020</t>
        </is>
      </c>
      <c r="B181" s="1" t="n">
        <v>43885</v>
      </c>
      <c r="C181" s="1" t="n">
        <v>45587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13146-2020</t>
        </is>
      </c>
      <c r="B182" s="1" t="n">
        <v>43901</v>
      </c>
      <c r="C182" s="1" t="n">
        <v>45587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13242-2020</t>
        </is>
      </c>
      <c r="B183" s="1" t="n">
        <v>43901</v>
      </c>
      <c r="C183" s="1" t="n">
        <v>45587</v>
      </c>
      <c r="D183" t="inlineStr">
        <is>
          <t>ÖREBRO LÄN</t>
        </is>
      </c>
      <c r="E183" t="inlineStr">
        <is>
          <t>ASKERSUND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14913-2020</t>
        </is>
      </c>
      <c r="B184" s="1" t="n">
        <v>43906</v>
      </c>
      <c r="C184" s="1" t="n">
        <v>45587</v>
      </c>
      <c r="D184" t="inlineStr">
        <is>
          <t>ÖREBRO LÄN</t>
        </is>
      </c>
      <c r="E184" t="inlineStr">
        <is>
          <t>ASKERSUND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14377-2020</t>
        </is>
      </c>
      <c r="B185" s="1" t="n">
        <v>43908</v>
      </c>
      <c r="C185" s="1" t="n">
        <v>45587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14379-2020</t>
        </is>
      </c>
      <c r="B186" s="1" t="n">
        <v>43908</v>
      </c>
      <c r="C186" s="1" t="n">
        <v>45587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17113-2020</t>
        </is>
      </c>
      <c r="B187" s="1" t="n">
        <v>43922</v>
      </c>
      <c r="C187" s="1" t="n">
        <v>45587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17864-2020</t>
        </is>
      </c>
      <c r="B188" s="1" t="n">
        <v>43924</v>
      </c>
      <c r="C188" s="1" t="n">
        <v>45587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18044-2020</t>
        </is>
      </c>
      <c r="B189" s="1" t="n">
        <v>43927</v>
      </c>
      <c r="C189" s="1" t="n">
        <v>45587</v>
      </c>
      <c r="D189" t="inlineStr">
        <is>
          <t>ÖREBRO LÄN</t>
        </is>
      </c>
      <c r="E189" t="inlineStr">
        <is>
          <t>ASKERSUND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18293-2020</t>
        </is>
      </c>
      <c r="B190" s="1" t="n">
        <v>43928</v>
      </c>
      <c r="C190" s="1" t="n">
        <v>45587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18290-2020</t>
        </is>
      </c>
      <c r="B191" s="1" t="n">
        <v>43928</v>
      </c>
      <c r="C191" s="1" t="n">
        <v>45587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18243-2020</t>
        </is>
      </c>
      <c r="B192" s="1" t="n">
        <v>43928</v>
      </c>
      <c r="C192" s="1" t="n">
        <v>45587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18311-2020</t>
        </is>
      </c>
      <c r="B193" s="1" t="n">
        <v>43928</v>
      </c>
      <c r="C193" s="1" t="n">
        <v>45587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18807-2020</t>
        </is>
      </c>
      <c r="B194" s="1" t="n">
        <v>43934</v>
      </c>
      <c r="C194" s="1" t="n">
        <v>45587</v>
      </c>
      <c r="D194" t="inlineStr">
        <is>
          <t>ÖREBRO LÄN</t>
        </is>
      </c>
      <c r="E194" t="inlineStr">
        <is>
          <t>ASKERSUND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19053-2020</t>
        </is>
      </c>
      <c r="B195" s="1" t="n">
        <v>43936</v>
      </c>
      <c r="C195" s="1" t="n">
        <v>45587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19050-2020</t>
        </is>
      </c>
      <c r="B196" s="1" t="n">
        <v>43936</v>
      </c>
      <c r="C196" s="1" t="n">
        <v>45587</v>
      </c>
      <c r="D196" t="inlineStr">
        <is>
          <t>ÖREBRO LÄN</t>
        </is>
      </c>
      <c r="E196" t="inlineStr">
        <is>
          <t>ASKERSUND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19416-2020</t>
        </is>
      </c>
      <c r="B197" s="1" t="n">
        <v>43938</v>
      </c>
      <c r="C197" s="1" t="n">
        <v>45587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19447-2020</t>
        </is>
      </c>
      <c r="B198" s="1" t="n">
        <v>43938</v>
      </c>
      <c r="C198" s="1" t="n">
        <v>45587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19540-2020</t>
        </is>
      </c>
      <c r="B199" s="1" t="n">
        <v>43941</v>
      </c>
      <c r="C199" s="1" t="n">
        <v>45587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20312-2020</t>
        </is>
      </c>
      <c r="B200" s="1" t="n">
        <v>43945</v>
      </c>
      <c r="C200" s="1" t="n">
        <v>45587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21296-2020</t>
        </is>
      </c>
      <c r="B201" s="1" t="n">
        <v>43955</v>
      </c>
      <c r="C201" s="1" t="n">
        <v>45587</v>
      </c>
      <c r="D201" t="inlineStr">
        <is>
          <t>ÖREBRO LÄN</t>
        </is>
      </c>
      <c r="E201" t="inlineStr">
        <is>
          <t>ASKERSUND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21779-2020</t>
        </is>
      </c>
      <c r="B202" s="1" t="n">
        <v>43958</v>
      </c>
      <c r="C202" s="1" t="n">
        <v>45587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22481-2020</t>
        </is>
      </c>
      <c r="B203" s="1" t="n">
        <v>43963</v>
      </c>
      <c r="C203" s="1" t="n">
        <v>45587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22479-2020</t>
        </is>
      </c>
      <c r="B204" s="1" t="n">
        <v>43963</v>
      </c>
      <c r="C204" s="1" t="n">
        <v>45587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22476-2020</t>
        </is>
      </c>
      <c r="B205" s="1" t="n">
        <v>43963</v>
      </c>
      <c r="C205" s="1" t="n">
        <v>45587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22487-2020</t>
        </is>
      </c>
      <c r="B206" s="1" t="n">
        <v>43963</v>
      </c>
      <c r="C206" s="1" t="n">
        <v>45587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23479-2020</t>
        </is>
      </c>
      <c r="B207" s="1" t="n">
        <v>43969</v>
      </c>
      <c r="C207" s="1" t="n">
        <v>45587</v>
      </c>
      <c r="D207" t="inlineStr">
        <is>
          <t>ÖREBRO LÄN</t>
        </is>
      </c>
      <c r="E207" t="inlineStr">
        <is>
          <t>ASKERSUND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23591-2020</t>
        </is>
      </c>
      <c r="B208" s="1" t="n">
        <v>43969</v>
      </c>
      <c r="C208" s="1" t="n">
        <v>45587</v>
      </c>
      <c r="D208" t="inlineStr">
        <is>
          <t>ÖREBRO LÄN</t>
        </is>
      </c>
      <c r="E208" t="inlineStr">
        <is>
          <t>ASKERSUND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23698-2020</t>
        </is>
      </c>
      <c r="B209" s="1" t="n">
        <v>43970</v>
      </c>
      <c r="C209" s="1" t="n">
        <v>45587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23919-2020</t>
        </is>
      </c>
      <c r="B210" s="1" t="n">
        <v>43971</v>
      </c>
      <c r="C210" s="1" t="n">
        <v>45587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24239-2020</t>
        </is>
      </c>
      <c r="B211" s="1" t="n">
        <v>43976</v>
      </c>
      <c r="C211" s="1" t="n">
        <v>45587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25650-2020</t>
        </is>
      </c>
      <c r="B212" s="1" t="n">
        <v>43983</v>
      </c>
      <c r="C212" s="1" t="n">
        <v>45587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25648-2020</t>
        </is>
      </c>
      <c r="B213" s="1" t="n">
        <v>43983</v>
      </c>
      <c r="C213" s="1" t="n">
        <v>45587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45587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45587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45587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45587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45587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45587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45587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45587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45587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45587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45587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45587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45587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45587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45587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45587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45587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45587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45587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45587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45587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45587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45587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45587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45587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45587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45587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45587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45587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45587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45587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45587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45587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45587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45587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45587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45587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45587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45587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45587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45587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45587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45587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45587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45587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45587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45587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45587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45587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45587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45587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45587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45587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45587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45587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45587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45587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45587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45587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45587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45587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45587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45587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45587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45587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45587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45587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45587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45587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45587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45587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45587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45587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45587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45587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45587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45587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45587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45587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45587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45587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45587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45587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45587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45587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45587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45587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45587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45587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45587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45587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45587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45587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45587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45587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45587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45587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45587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45587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45587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45587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45587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45587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45587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45587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45587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45587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45587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45587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45587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45587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45587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45587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45587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45587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45587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45587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45587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45587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45587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45587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45587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45587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45587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45587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45587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45587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45587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45587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45587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45587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45587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45587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45587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45587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45587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45587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45587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45587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45587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45587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45587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45587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45587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45587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45587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45587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45587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45587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45587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45587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45587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45587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45587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45587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45587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45587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45587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45587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45587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45587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45587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45587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45587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45587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45587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45587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45587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45587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45587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45587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45587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45587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45587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45587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45587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45587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45587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45587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45587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45587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45587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45587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45587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45587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45587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45587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45587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45587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45587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45587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45587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45587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45587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45587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45587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45587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45587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45587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45587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45587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45587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45587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45587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45587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45587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45587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45587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45587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45587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45587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45587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45587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45587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45587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45587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45587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45587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45587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45587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45587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45587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45587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45587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45587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45587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45587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45587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45587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45587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45587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45587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45587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45587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45587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45587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45587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45587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45587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45587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45587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45587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45587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45587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45587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45587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45587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45587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45587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45587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45587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45587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45587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45587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45587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45587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45587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45587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45587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45587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45587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45587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45587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45587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45587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45587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45587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45587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45587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45587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45587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45587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45587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45587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45587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45587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45587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45587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45587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45587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45587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45587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45587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45587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45587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45587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45587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45587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45587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45587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45587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45587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45587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45587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45587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45587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45587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45587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45587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45587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45587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45587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45587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45587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45587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45587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45587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45587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45587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45587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45587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45587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45587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45587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45587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45587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45587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45587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45587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45587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45587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45587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45587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45587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45587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45587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45587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45587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45587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45587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45587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45587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45587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45587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45587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45587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45587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45587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45587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45587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45587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45587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45587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45587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45587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45587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45587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45587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45587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45587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45587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45587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45587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45587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45587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45587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45587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45587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45587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45587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45587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45587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45587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45587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45587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45587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45587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45587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45587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45587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45587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45587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45587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45587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45587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45587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45587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45587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45587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45587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45587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45587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45587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45587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45587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45587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45587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45587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45587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45587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45587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45587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45587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45587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45587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45587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45587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45587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45587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45587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45587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45587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45587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45587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45587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45587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45587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45587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45587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45587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45587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45587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45587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45587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45587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45587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45587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45587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45587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45587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45587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45587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45587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45587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45587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45587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45587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45587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45587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45587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45587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45587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45587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45587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45587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45587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45587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45587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45587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45587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45587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45587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45587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45587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45587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45587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45587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45587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45587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45587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45587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45587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45587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45587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45587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45587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45587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45587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45587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45587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45587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45587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45587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45587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45587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45587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45587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45587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45587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45587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45587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45587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45587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45587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45587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45587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45587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45587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45587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45587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45587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45587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45587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45587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45587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45587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45587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45587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45587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45587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45587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45587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45587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45587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45587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45587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45587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45587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45587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45587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45587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45587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45587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45587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45587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45587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45587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45587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45587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45587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45587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45587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45587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45587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45587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45587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45587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45587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45587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45587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45587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45587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45587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45587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45587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45587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45587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45587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45587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45587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45587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45587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45587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45587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45587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45587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45587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45587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45587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45587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45587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45587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45587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45587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45587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45587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45587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45587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45587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45587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45587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45587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45587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45587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45587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45587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45587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45587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45587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45587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45587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45587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45587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45587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45587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45587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45587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45587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45587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45587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45587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45587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45587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45587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45587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45587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45587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45587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45587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45587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45587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45587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45587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45587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45587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45587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45587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45587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45587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39829-2024</t>
        </is>
      </c>
      <c r="B985" s="1" t="n">
        <v>45553</v>
      </c>
      <c r="C985" s="1" t="n">
        <v>45587</v>
      </c>
      <c r="D985" t="inlineStr">
        <is>
          <t>ÖREBRO LÄN</t>
        </is>
      </c>
      <c r="E985" t="inlineStr">
        <is>
          <t>ASKERSUND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39826-2024</t>
        </is>
      </c>
      <c r="B986" s="1" t="n">
        <v>45553</v>
      </c>
      <c r="C986" s="1" t="n">
        <v>45587</v>
      </c>
      <c r="D986" t="inlineStr">
        <is>
          <t>ÖREBRO LÄN</t>
        </is>
      </c>
      <c r="E986" t="inlineStr">
        <is>
          <t>ASKERSUND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41154-2024</t>
        </is>
      </c>
      <c r="B987" s="1" t="n">
        <v>45559</v>
      </c>
      <c r="C987" s="1" t="n">
        <v>45587</v>
      </c>
      <c r="D987" t="inlineStr">
        <is>
          <t>ÖREBRO LÄN</t>
        </is>
      </c>
      <c r="E987" t="inlineStr">
        <is>
          <t>ASKERSUND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45587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45587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41216-2024</t>
        </is>
      </c>
      <c r="B990" s="1" t="n">
        <v>45559</v>
      </c>
      <c r="C990" s="1" t="n">
        <v>45587</v>
      </c>
      <c r="D990" t="inlineStr">
        <is>
          <t>ÖREBRO LÄN</t>
        </is>
      </c>
      <c r="E990" t="inlineStr">
        <is>
          <t>ASKERSUND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41211-2024</t>
        </is>
      </c>
      <c r="B991" s="1" t="n">
        <v>45559</v>
      </c>
      <c r="C991" s="1" t="n">
        <v>45587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41215-2024</t>
        </is>
      </c>
      <c r="B992" s="1" t="n">
        <v>45559</v>
      </c>
      <c r="C992" s="1" t="n">
        <v>45587</v>
      </c>
      <c r="D992" t="inlineStr">
        <is>
          <t>ÖREBRO LÄN</t>
        </is>
      </c>
      <c r="E992" t="inlineStr">
        <is>
          <t>ASKERSUND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45587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41073-2024</t>
        </is>
      </c>
      <c r="B994" s="1" t="n">
        <v>45559</v>
      </c>
      <c r="C994" s="1" t="n">
        <v>45587</v>
      </c>
      <c r="D994" t="inlineStr">
        <is>
          <t>ÖREBRO LÄN</t>
        </is>
      </c>
      <c r="E994" t="inlineStr">
        <is>
          <t>ASKERSUND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45587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45587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42878-2024</t>
        </is>
      </c>
      <c r="B998" s="1" t="n">
        <v>45566</v>
      </c>
      <c r="C998" s="1" t="n">
        <v>45587</v>
      </c>
      <c r="D998" t="inlineStr">
        <is>
          <t>ÖREBRO LÄN</t>
        </is>
      </c>
      <c r="E998" t="inlineStr">
        <is>
          <t>ASKERSUND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42876-2024</t>
        </is>
      </c>
      <c r="B999" s="1" t="n">
        <v>45566</v>
      </c>
      <c r="C999" s="1" t="n">
        <v>45587</v>
      </c>
      <c r="D999" t="inlineStr">
        <is>
          <t>ÖREBRO LÄN</t>
        </is>
      </c>
      <c r="E999" t="inlineStr">
        <is>
          <t>ASKERSUND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45587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45587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43830-2024</t>
        </is>
      </c>
      <c r="B1002" s="1" t="n">
        <v>45572</v>
      </c>
      <c r="C1002" s="1" t="n">
        <v>45587</v>
      </c>
      <c r="D1002" t="inlineStr">
        <is>
          <t>ÖREBRO LÄN</t>
        </is>
      </c>
      <c r="E1002" t="inlineStr">
        <is>
          <t>ASKERSUND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43884-2024</t>
        </is>
      </c>
      <c r="B1003" s="1" t="n">
        <v>45572</v>
      </c>
      <c r="C1003" s="1" t="n">
        <v>45587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43930-2024</t>
        </is>
      </c>
      <c r="B1004" s="1" t="n">
        <v>45572</v>
      </c>
      <c r="C1004" s="1" t="n">
        <v>45587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43956-2024</t>
        </is>
      </c>
      <c r="B1005" s="1" t="n">
        <v>45572</v>
      </c>
      <c r="C1005" s="1" t="n">
        <v>45587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45587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45587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45587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44993-2024</t>
        </is>
      </c>
      <c r="B1009" s="1" t="n">
        <v>45575</v>
      </c>
      <c r="C1009" s="1" t="n">
        <v>45587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45021-2024</t>
        </is>
      </c>
      <c r="B1010" s="1" t="n">
        <v>45575</v>
      </c>
      <c r="C1010" s="1" t="n">
        <v>45587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45025-2024</t>
        </is>
      </c>
      <c r="B1011" s="1" t="n">
        <v>45575</v>
      </c>
      <c r="C1011" s="1" t="n">
        <v>45587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45587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44996-2024</t>
        </is>
      </c>
      <c r="B1013" s="1" t="n">
        <v>45575</v>
      </c>
      <c r="C1013" s="1" t="n">
        <v>45587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45077-2024</t>
        </is>
      </c>
      <c r="B1014" s="1" t="n">
        <v>45575</v>
      </c>
      <c r="C1014" s="1" t="n">
        <v>45587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45830-2024</t>
        </is>
      </c>
      <c r="B1015" s="1" t="n">
        <v>45579</v>
      </c>
      <c r="C1015" s="1" t="n">
        <v>45587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47202-2024</t>
        </is>
      </c>
      <c r="B1016" s="1" t="n">
        <v>45586</v>
      </c>
      <c r="C1016" s="1" t="n">
        <v>45587</v>
      </c>
      <c r="D1016" t="inlineStr">
        <is>
          <t>ÖREBRO LÄN</t>
        </is>
      </c>
      <c r="E1016" t="inlineStr">
        <is>
          <t>ASKERSUND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2024-10-22T13:04:27Z</dcterms:created>
  <dcterms:modified xmlns:dcterms="http://purl.org/dc/terms/" xmlns:xsi="http://www.w3.org/2001/XMLSchema-instance" xsi:type="dcterms:W3CDTF">2024-10-22T13:04:28Z</dcterms:modified>
</cp:coreProperties>
</file>