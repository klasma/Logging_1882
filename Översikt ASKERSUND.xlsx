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677-2025</t>
        </is>
      </c>
      <c r="B2" t="inlineStr">
        <is>
          <t>samrådsanmälan</t>
        </is>
      </c>
      <c r="C2" t="inlineStr">
        <is>
          <t>Annan skogsbruksåtgärd</t>
        </is>
      </c>
      <c r="D2" s="1" t="n">
        <v>45716</v>
      </c>
      <c r="E2" s="1" t="n">
        <v>46217</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2">
        <f>HYPERLINK("https://klasma.github.io/Logging_1882/artfynd/S 677-2025 artfynd.xlsx", "S 677-2025")</f>
        <v/>
      </c>
      <c r="W2">
        <f>HYPERLINK("https://klasma.github.io/Logging_1882/kartor/S 677-2025 karta.png", "S 677-2025")</f>
        <v/>
      </c>
      <c r="Y2">
        <f>HYPERLINK("https://klasma.github.io/Logging_1882/klagomål/S 677-2025 FSC-klagomål.docx", "S 677-2025")</f>
        <v/>
      </c>
      <c r="Z2">
        <f>HYPERLINK("https://klasma.github.io/Logging_1882/klagomålsmail/S 677-2025 FSC-klagomål mail.docx", "S 677-2025")</f>
        <v/>
      </c>
      <c r="AA2">
        <f>HYPERLINK("https://klasma.github.io/Logging_1882/tillsyn/S 677-2025 tillsynsbegäran.docx", "S 677-2025")</f>
        <v/>
      </c>
      <c r="AB2">
        <f>HYPERLINK("https://klasma.github.io/Logging_1882/tillsynsmail/S 677-2025 tillsynsbegäran mail.docx", "S 677-2025")</f>
        <v/>
      </c>
      <c r="AC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46217</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3">
        <f>HYPERLINK("https://klasma.github.io/Logging_1882/artfynd/S 1169-2022 artfynd.xlsx", "S 1169-2022")</f>
        <v/>
      </c>
      <c r="W3">
        <f>HYPERLINK("https://klasma.github.io/Logging_1882/kartor/S 1169-2022 karta.png", "S 1169-2022")</f>
        <v/>
      </c>
      <c r="Y3">
        <f>HYPERLINK("https://klasma.github.io/Logging_1882/klagomål/S 1169-2022 FSC-klagomål.docx", "S 1169-2022")</f>
        <v/>
      </c>
      <c r="Z3">
        <f>HYPERLINK("https://klasma.github.io/Logging_1882/klagomålsmail/S 1169-2022 FSC-klagomål mail.docx", "S 1169-2022")</f>
        <v/>
      </c>
      <c r="AA3">
        <f>HYPERLINK("https://klasma.github.io/Logging_1882/tillsyn/S 1169-2022 tillsynsbegäran.docx", "S 1169-2022")</f>
        <v/>
      </c>
      <c r="AB3">
        <f>HYPERLINK("https://klasma.github.io/Logging_1882/tillsynsmail/S 1169-2022 tillsynsbegäran mail.docx", "S 1169-2022")</f>
        <v/>
      </c>
      <c r="AC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46217</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4">
        <f>HYPERLINK("https://klasma.github.io/Logging_1882/artfynd/S 1543-2026 artfynd.xlsx", "S 1543-2026")</f>
        <v/>
      </c>
      <c r="W4">
        <f>HYPERLINK("https://klasma.github.io/Logging_1882/kartor/S 1543-2026 karta.png", "S 1543-2026")</f>
        <v/>
      </c>
      <c r="Y4">
        <f>HYPERLINK("https://klasma.github.io/Logging_1882/klagomål/S 1543-2026 FSC-klagomål.docx", "S 1543-2026")</f>
        <v/>
      </c>
      <c r="Z4">
        <f>HYPERLINK("https://klasma.github.io/Logging_1882/klagomålsmail/S 1543-2026 FSC-klagomål mail.docx", "S 1543-2026")</f>
        <v/>
      </c>
      <c r="AA4">
        <f>HYPERLINK("https://klasma.github.io/Logging_1882/tillsyn/S 1543-2026 tillsynsbegäran.docx", "S 1543-2026")</f>
        <v/>
      </c>
      <c r="AB4">
        <f>HYPERLINK("https://klasma.github.io/Logging_1882/tillsynsmail/S 1543-2026 tillsynsbegäran mail.docx", "S 1543-2026")</f>
        <v/>
      </c>
      <c r="AC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46217</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5">
        <f>HYPERLINK("https://klasma.github.io/Logging_1882/artfynd/S 432-2026 artfynd.xlsx", "S 432-2026")</f>
        <v/>
      </c>
      <c r="W5">
        <f>HYPERLINK("https://klasma.github.io/Logging_1882/kartor/S 432-2026 karta.png", "S 432-2026")</f>
        <v/>
      </c>
      <c r="Y5">
        <f>HYPERLINK("https://klasma.github.io/Logging_1882/klagomål/S 432-2026 FSC-klagomål.docx", "S 432-2026")</f>
        <v/>
      </c>
      <c r="Z5">
        <f>HYPERLINK("https://klasma.github.io/Logging_1882/klagomålsmail/S 432-2026 FSC-klagomål mail.docx", "S 432-2026")</f>
        <v/>
      </c>
      <c r="AA5">
        <f>HYPERLINK("https://klasma.github.io/Logging_1882/tillsyn/S 432-2026 tillsynsbegäran.docx", "S 432-2026")</f>
        <v/>
      </c>
      <c r="AB5">
        <f>HYPERLINK("https://klasma.github.io/Logging_1882/tillsynsmail/S 432-2026 tillsynsbegäran mail.docx", "S 432-2026")</f>
        <v/>
      </c>
      <c r="AC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46217</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6">
        <f>HYPERLINK("https://klasma.github.io/Logging_1882/artfynd/S 212-2024 artfynd.xlsx", "S 212-2024")</f>
        <v/>
      </c>
      <c r="W6">
        <f>HYPERLINK("https://klasma.github.io/Logging_1882/kartor/S 212-2024 karta.png", "S 212-2024")</f>
        <v/>
      </c>
      <c r="Y6">
        <f>HYPERLINK("https://klasma.github.io/Logging_1882/klagomål/S 212-2024 FSC-klagomål.docx", "S 212-2024")</f>
        <v/>
      </c>
      <c r="Z6">
        <f>HYPERLINK("https://klasma.github.io/Logging_1882/klagomålsmail/S 212-2024 FSC-klagomål mail.docx", "S 212-2024")</f>
        <v/>
      </c>
      <c r="AA6">
        <f>HYPERLINK("https://klasma.github.io/Logging_1882/tillsyn/S 212-2024 tillsynsbegäran.docx", "S 212-2024")</f>
        <v/>
      </c>
      <c r="AB6">
        <f>HYPERLINK("https://klasma.github.io/Logging_1882/tillsynsmail/S 212-2024 tillsynsbegäran mail.docx", "S 212-2024")</f>
        <v/>
      </c>
      <c r="AC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46217</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s="2" t="inlineStr">
        <is>
          <t>Ask
Skogsalm
Rökpipsvamp
Sårläka
Vårärt
Fällmossa
Hasselticka
Myskmadra
Nästrot
Svart trolldruva
Trubbfjädermossa
Underviol
Vätteros
Blåsippa</t>
        </is>
      </c>
      <c r="V7">
        <f>HYPERLINK("https://klasma.github.io/Logging_1882/artfynd/S 4775-2024 artfynd.xlsx", "S 4775-2024")</f>
        <v/>
      </c>
      <c r="W7">
        <f>HYPERLINK("https://klasma.github.io/Logging_1882/kartor/S 4775-2024 karta.png", "S 4775-2024")</f>
        <v/>
      </c>
      <c r="Y7">
        <f>HYPERLINK("https://klasma.github.io/Logging_1882/klagomål/S 4775-2024 FSC-klagomål.docx", "S 4775-2024")</f>
        <v/>
      </c>
      <c r="Z7">
        <f>HYPERLINK("https://klasma.github.io/Logging_1882/klagomålsmail/S 4775-2024 FSC-klagomål mail.docx", "S 4775-2024")</f>
        <v/>
      </c>
      <c r="AA7">
        <f>HYPERLINK("https://klasma.github.io/Logging_1882/tillsyn/S 4775-2024 tillsynsbegäran.docx", "S 4775-2024")</f>
        <v/>
      </c>
      <c r="AB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46217</v>
      </c>
      <c r="F8" t="inlineStr">
        <is>
          <t>ÖREBRO LÄN</t>
        </is>
      </c>
      <c r="G8" t="inlineStr">
        <is>
          <t>ASKERSUND</t>
        </is>
      </c>
      <c r="I8" t="n">
        <v>2.2</v>
      </c>
      <c r="J8" t="n">
        <v>6</v>
      </c>
      <c r="K8" t="n">
        <v>6</v>
      </c>
      <c r="L8" t="n">
        <v>2</v>
      </c>
      <c r="M8" t="n">
        <v>1</v>
      </c>
      <c r="N8" t="n">
        <v>0</v>
      </c>
      <c r="O8" t="n">
        <v>0</v>
      </c>
      <c r="P8" t="n">
        <v>0</v>
      </c>
      <c r="Q8" t="n">
        <v>3</v>
      </c>
      <c r="R8" t="n">
        <v>1</v>
      </c>
      <c r="S8" t="n">
        <v>13</v>
      </c>
      <c r="T8" t="n">
        <v>19</v>
      </c>
      <c r="U8" s="2" t="inlineStr">
        <is>
          <t>Knärot
Kattfotslav
Tretåig hackspett
Blåmossa
Bronshjon
Grönpyrola
Havstulpanlav
Rostfläck
Västlig hakmossa
Spillkråka
Tjäder
Kungsfågel
Revlummer</t>
        </is>
      </c>
      <c r="V8">
        <f>HYPERLINK("https://klasma.github.io/Logging_1882/artfynd/A 3927-2022 artfynd.xlsx", "A 3927-2022")</f>
        <v/>
      </c>
      <c r="W8">
        <f>HYPERLINK("https://klasma.github.io/Logging_1882/kartor/A 3927-2022 karta.png", "A 3927-2022")</f>
        <v/>
      </c>
      <c r="X8">
        <f>HYPERLINK("https://klasma.github.io/Logging_1882/knärot/A 3927-2022 karta knärot.png", "A 3927-2022")</f>
        <v/>
      </c>
      <c r="Y8">
        <f>HYPERLINK("https://klasma.github.io/Logging_1882/klagomål/A 3927-2022 FSC-klagomål.docx", "A 3927-2022")</f>
        <v/>
      </c>
      <c r="Z8">
        <f>HYPERLINK("https://klasma.github.io/Logging_1882/klagomålsmail/A 3927-2022 FSC-klagomål mail.docx", "A 3927-2022")</f>
        <v/>
      </c>
      <c r="AA8">
        <f>HYPERLINK("https://klasma.github.io/Logging_1882/tillsyn/A 3927-2022 tillsynsbegäran.docx", "A 3927-2022")</f>
        <v/>
      </c>
      <c r="AB8">
        <f>HYPERLINK("https://klasma.github.io/Logging_1882/tillsynsmail/A 3927-2022 tillsynsbegäran mail.docx", "A 3927-2022")</f>
        <v/>
      </c>
      <c r="AC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46217</v>
      </c>
      <c r="F9" t="inlineStr">
        <is>
          <t>ÖREBRO LÄN</t>
        </is>
      </c>
      <c r="G9" t="inlineStr">
        <is>
          <t>ASKERSUND</t>
        </is>
      </c>
      <c r="I9" t="n">
        <v>5.8</v>
      </c>
      <c r="J9" t="n">
        <v>4</v>
      </c>
      <c r="K9" t="n">
        <v>1</v>
      </c>
      <c r="L9" t="n">
        <v>7</v>
      </c>
      <c r="M9" t="n">
        <v>2</v>
      </c>
      <c r="N9" t="n">
        <v>0</v>
      </c>
      <c r="O9" t="n">
        <v>0</v>
      </c>
      <c r="P9" t="n">
        <v>0</v>
      </c>
      <c r="Q9" t="n">
        <v>9</v>
      </c>
      <c r="R9" t="n">
        <v>2</v>
      </c>
      <c r="S9" t="n">
        <v>12</v>
      </c>
      <c r="T9" t="n">
        <v>20</v>
      </c>
      <c r="U9" s="2" t="inlineStr">
        <is>
          <t>Backsippa
Hällebräcka
Backstarr
Jungfrulin
Klasefibbla
Sandviol
Slåtterfibbla
Svinrot
Vårstarr
Underviol
Blåsippa
Gullviva</t>
        </is>
      </c>
      <c r="V9">
        <f>HYPERLINK("https://klasma.github.io/Logging_1882/artfynd/A 57294-2024 artfynd.xlsx", "A 57294-2024")</f>
        <v/>
      </c>
      <c r="W9">
        <f>HYPERLINK("https://klasma.github.io/Logging_1882/kartor/A 57294-2024 karta.png", "A 57294-2024")</f>
        <v/>
      </c>
      <c r="Y9">
        <f>HYPERLINK("https://klasma.github.io/Logging_1882/klagomål/A 57294-2024 FSC-klagomål.docx", "A 57294-2024")</f>
        <v/>
      </c>
      <c r="Z9">
        <f>HYPERLINK("https://klasma.github.io/Logging_1882/klagomålsmail/A 57294-2024 FSC-klagomål mail.docx", "A 57294-2024")</f>
        <v/>
      </c>
      <c r="AA9">
        <f>HYPERLINK("https://klasma.github.io/Logging_1882/tillsyn/A 57294-2024 tillsynsbegäran.docx", "A 57294-2024")</f>
        <v/>
      </c>
      <c r="AB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46217</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s="2" t="inlineStr">
        <is>
          <t>Rökpipsvamp
Sårläka
Vårärt
Fällmossa
Hasselticka
Nästrot
Svart trolldruva
Trubbfjädermossa
Underviol
Vätteros
Blåsippa</t>
        </is>
      </c>
      <c r="V10">
        <f>HYPERLINK("https://klasma.github.io/Logging_1882/artfynd/A 58660-2024 artfynd.xlsx", "A 58660-2024")</f>
        <v/>
      </c>
      <c r="W10">
        <f>HYPERLINK("https://klasma.github.io/Logging_1882/kartor/A 58660-2024 karta.png", "A 58660-2024")</f>
        <v/>
      </c>
      <c r="Y10">
        <f>HYPERLINK("https://klasma.github.io/Logging_1882/klagomål/A 58660-2024 FSC-klagomål.docx", "A 58660-2024")</f>
        <v/>
      </c>
      <c r="Z10">
        <f>HYPERLINK("https://klasma.github.io/Logging_1882/klagomålsmail/A 58660-2024 FSC-klagomål mail.docx", "A 58660-2024")</f>
        <v/>
      </c>
      <c r="AA10">
        <f>HYPERLINK("https://klasma.github.io/Logging_1882/tillsyn/A 58660-2024 tillsynsbegäran.docx", "A 58660-2024")</f>
        <v/>
      </c>
      <c r="AB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46217</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s="2" t="inlineStr">
        <is>
          <t>Garnlav
Dropptaggsvamp
Tallticka
Ullticka
Blomkålssvamp
Vedticka
Zontaggsvamp
Spillkråka
Tjäder
Revlummer</t>
        </is>
      </c>
      <c r="V11">
        <f>HYPERLINK("https://klasma.github.io/Logging_1882/artfynd/A 3674-2023 artfynd.xlsx", "A 3674-2023")</f>
        <v/>
      </c>
      <c r="W11">
        <f>HYPERLINK("https://klasma.github.io/Logging_1882/kartor/A 3674-2023 karta.png", "A 3674-2023")</f>
        <v/>
      </c>
      <c r="Y11">
        <f>HYPERLINK("https://klasma.github.io/Logging_1882/klagomål/A 3674-2023 FSC-klagomål.docx", "A 3674-2023")</f>
        <v/>
      </c>
      <c r="Z11">
        <f>HYPERLINK("https://klasma.github.io/Logging_1882/klagomålsmail/A 3674-2023 FSC-klagomål mail.docx", "A 3674-2023")</f>
        <v/>
      </c>
      <c r="AA11">
        <f>HYPERLINK("https://klasma.github.io/Logging_1882/tillsyn/A 3674-2023 tillsynsbegäran.docx", "A 3674-2023")</f>
        <v/>
      </c>
      <c r="AB11">
        <f>HYPERLINK("https://klasma.github.io/Logging_1882/tillsynsmail/A 3674-2023 tillsynsbegäran mail.docx", "A 3674-2023")</f>
        <v/>
      </c>
      <c r="AC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46217</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s="2" t="inlineStr">
        <is>
          <t>Gullklöver
Slåtterfibbla
Sommarfibbla
Svinrot
Vårstarr
Springkorn
Gullviva</t>
        </is>
      </c>
      <c r="V12">
        <f>HYPERLINK("https://klasma.github.io/Logging_1882/artfynd/A 1791-2022 artfynd.xlsx", "A 1791-2022")</f>
        <v/>
      </c>
      <c r="W12">
        <f>HYPERLINK("https://klasma.github.io/Logging_1882/kartor/A 1791-2022 karta.png", "A 1791-2022")</f>
        <v/>
      </c>
      <c r="Y12">
        <f>HYPERLINK("https://klasma.github.io/Logging_1882/klagomål/A 1791-2022 FSC-klagomål.docx", "A 1791-2022")</f>
        <v/>
      </c>
      <c r="Z12">
        <f>HYPERLINK("https://klasma.github.io/Logging_1882/klagomålsmail/A 1791-2022 FSC-klagomål mail.docx", "A 1791-2022")</f>
        <v/>
      </c>
      <c r="AA12">
        <f>HYPERLINK("https://klasma.github.io/Logging_1882/tillsyn/A 1791-2022 tillsynsbegäran.docx", "A 1791-2022")</f>
        <v/>
      </c>
      <c r="AB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46217</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s="2" t="inlineStr">
        <is>
          <t>Fältgentiana
Hällebräcka
Jungfrulin
Sandviol
Blåsippa
Gullviva</t>
        </is>
      </c>
      <c r="V13">
        <f>HYPERLINK("https://klasma.github.io/Logging_1882/artfynd/A 2424-2022 artfynd.xlsx", "A 2424-2022")</f>
        <v/>
      </c>
      <c r="W13">
        <f>HYPERLINK("https://klasma.github.io/Logging_1882/kartor/A 2424-2022 karta.png", "A 2424-2022")</f>
        <v/>
      </c>
      <c r="Y13">
        <f>HYPERLINK("https://klasma.github.io/Logging_1882/klagomål/A 2424-2022 FSC-klagomål.docx", "A 2424-2022")</f>
        <v/>
      </c>
      <c r="Z13">
        <f>HYPERLINK("https://klasma.github.io/Logging_1882/klagomålsmail/A 2424-2022 FSC-klagomål mail.docx", "A 2424-2022")</f>
        <v/>
      </c>
      <c r="AA13">
        <f>HYPERLINK("https://klasma.github.io/Logging_1882/tillsyn/A 2424-2022 tillsynsbegäran.docx", "A 2424-2022")</f>
        <v/>
      </c>
      <c r="AB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46217</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s="2" t="inlineStr">
        <is>
          <t>Knärot
Kattfotslav
Motaggsvamp
Vågbandad barkbock
Kungsfågel
Revlummer</t>
        </is>
      </c>
      <c r="V14">
        <f>HYPERLINK("https://klasma.github.io/Logging_1882/artfynd/A 30189-2022 artfynd.xlsx", "A 30189-2022")</f>
        <v/>
      </c>
      <c r="W14">
        <f>HYPERLINK("https://klasma.github.io/Logging_1882/kartor/A 30189-2022 karta.png", "A 30189-2022")</f>
        <v/>
      </c>
      <c r="X14">
        <f>HYPERLINK("https://klasma.github.io/Logging_1882/knärot/A 30189-2022 karta knärot.png", "A 30189-2022")</f>
        <v/>
      </c>
      <c r="Y14">
        <f>HYPERLINK("https://klasma.github.io/Logging_1882/klagomål/A 30189-2022 FSC-klagomål.docx", "A 30189-2022")</f>
        <v/>
      </c>
      <c r="Z14">
        <f>HYPERLINK("https://klasma.github.io/Logging_1882/klagomålsmail/A 30189-2022 FSC-klagomål mail.docx", "A 30189-2022")</f>
        <v/>
      </c>
      <c r="AA14">
        <f>HYPERLINK("https://klasma.github.io/Logging_1882/tillsyn/A 30189-2022 tillsynsbegäran.docx", "A 30189-2022")</f>
        <v/>
      </c>
      <c r="AB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46217</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s="2" t="inlineStr">
        <is>
          <t>Blanksvart spiklav
Nordfladdermus
Talltita
Mattlummer
Vanlig groda
Fläcknycklar</t>
        </is>
      </c>
      <c r="V15">
        <f>HYPERLINK("https://klasma.github.io/Logging_1882/artfynd/A 401-2023 artfynd.xlsx", "A 401-2023")</f>
        <v/>
      </c>
      <c r="W15">
        <f>HYPERLINK("https://klasma.github.io/Logging_1882/kartor/A 401-2023 karta.png", "A 401-2023")</f>
        <v/>
      </c>
      <c r="Y15">
        <f>HYPERLINK("https://klasma.github.io/Logging_1882/klagomål/A 401-2023 FSC-klagomål.docx", "A 401-2023")</f>
        <v/>
      </c>
      <c r="Z15">
        <f>HYPERLINK("https://klasma.github.io/Logging_1882/klagomålsmail/A 401-2023 FSC-klagomål mail.docx", "A 401-2023")</f>
        <v/>
      </c>
      <c r="AA15">
        <f>HYPERLINK("https://klasma.github.io/Logging_1882/tillsyn/A 401-2023 tillsynsbegäran.docx", "A 401-2023")</f>
        <v/>
      </c>
      <c r="AB15">
        <f>HYPERLINK("https://klasma.github.io/Logging_1882/tillsynsmail/A 401-2023 tillsynsbegäran mail.docx", "A 401-2023")</f>
        <v/>
      </c>
      <c r="AC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46217</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s="2" t="inlineStr">
        <is>
          <t>Dropptaggsvamp
Gul dropplav
Tallticka
Vedticka
Grönsiska
Fläcknycklar</t>
        </is>
      </c>
      <c r="V16">
        <f>HYPERLINK("https://klasma.github.io/Logging_1882/artfynd/A 18263-2026 artfynd.xlsx", "A 18263-2026")</f>
        <v/>
      </c>
      <c r="W16">
        <f>HYPERLINK("https://klasma.github.io/Logging_1882/kartor/A 18263-2026 karta.png", "A 18263-2026")</f>
        <v/>
      </c>
      <c r="Y16">
        <f>HYPERLINK("https://klasma.github.io/Logging_1882/klagomål/A 18263-2026 FSC-klagomål.docx", "A 18263-2026")</f>
        <v/>
      </c>
      <c r="Z16">
        <f>HYPERLINK("https://klasma.github.io/Logging_1882/klagomålsmail/A 18263-2026 FSC-klagomål mail.docx", "A 18263-2026")</f>
        <v/>
      </c>
      <c r="AA16">
        <f>HYPERLINK("https://klasma.github.io/Logging_1882/tillsyn/A 18263-2026 tillsynsbegäran.docx", "A 18263-2026")</f>
        <v/>
      </c>
      <c r="AB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46217</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s="2" t="inlineStr">
        <is>
          <t>Dropptaggsvamp
Gul dropplav
Tallticka
Vedticka
Grönsiska
Fläcknycklar</t>
        </is>
      </c>
      <c r="V17">
        <f>HYPERLINK("https://klasma.github.io/Logging_1882/artfynd/A 27550-2023 artfynd.xlsx", "A 27550-2023")</f>
        <v/>
      </c>
      <c r="W17">
        <f>HYPERLINK("https://klasma.github.io/Logging_1882/kartor/A 27550-2023 karta.png", "A 27550-2023")</f>
        <v/>
      </c>
      <c r="Y17">
        <f>HYPERLINK("https://klasma.github.io/Logging_1882/klagomål/A 27550-2023 FSC-klagomål.docx", "A 27550-2023")</f>
        <v/>
      </c>
      <c r="Z17">
        <f>HYPERLINK("https://klasma.github.io/Logging_1882/klagomålsmail/A 27550-2023 FSC-klagomål mail.docx", "A 27550-2023")</f>
        <v/>
      </c>
      <c r="AA17">
        <f>HYPERLINK("https://klasma.github.io/Logging_1882/tillsyn/A 27550-2023 tillsynsbegäran.docx", "A 27550-2023")</f>
        <v/>
      </c>
      <c r="AB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46217</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s="2" t="inlineStr">
        <is>
          <t>Kandelabersvamp
Blåsfliksmossa
Gulnål
Trubbfjädermossa
Utter</t>
        </is>
      </c>
      <c r="V18">
        <f>HYPERLINK("https://klasma.github.io/Logging_1882/artfynd/A 31967-2023 artfynd.xlsx", "A 31967-2023")</f>
        <v/>
      </c>
      <c r="W18">
        <f>HYPERLINK("https://klasma.github.io/Logging_1882/kartor/A 31967-2023 karta.png", "A 31967-2023")</f>
        <v/>
      </c>
      <c r="Y18">
        <f>HYPERLINK("https://klasma.github.io/Logging_1882/klagomål/A 31967-2023 FSC-klagomål.docx", "A 31967-2023")</f>
        <v/>
      </c>
      <c r="Z18">
        <f>HYPERLINK("https://klasma.github.io/Logging_1882/klagomålsmail/A 31967-2023 FSC-klagomål mail.docx", "A 31967-2023")</f>
        <v/>
      </c>
      <c r="AA18">
        <f>HYPERLINK("https://klasma.github.io/Logging_1882/tillsyn/A 31967-2023 tillsynsbegäran.docx", "A 31967-2023")</f>
        <v/>
      </c>
      <c r="AB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46217</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s="2" t="inlineStr">
        <is>
          <t>Slåtterfibbla
Svinrot
Fläcknycklar
Nattviol</t>
        </is>
      </c>
      <c r="V19">
        <f>HYPERLINK("https://klasma.github.io/Logging_1882/artfynd/A 7751-2024 artfynd.xlsx", "A 7751-2024")</f>
        <v/>
      </c>
      <c r="W19">
        <f>HYPERLINK("https://klasma.github.io/Logging_1882/kartor/A 7751-2024 karta.png", "A 7751-2024")</f>
        <v/>
      </c>
      <c r="Y19">
        <f>HYPERLINK("https://klasma.github.io/Logging_1882/klagomål/A 7751-2024 FSC-klagomål.docx", "A 7751-2024")</f>
        <v/>
      </c>
      <c r="Z19">
        <f>HYPERLINK("https://klasma.github.io/Logging_1882/klagomålsmail/A 7751-2024 FSC-klagomål mail.docx", "A 7751-2024")</f>
        <v/>
      </c>
      <c r="AA19">
        <f>HYPERLINK("https://klasma.github.io/Logging_1882/tillsyn/A 7751-2024 tillsynsbegäran.docx", "A 7751-2024")</f>
        <v/>
      </c>
      <c r="AB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46217</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s="2" t="inlineStr">
        <is>
          <t>Tretåig hackspett
Vedticka
Tjäder
Revlummer</t>
        </is>
      </c>
      <c r="V20">
        <f>HYPERLINK("https://klasma.github.io/Logging_1882/artfynd/A 3945-2022 artfynd.xlsx", "A 3945-2022")</f>
        <v/>
      </c>
      <c r="W20">
        <f>HYPERLINK("https://klasma.github.io/Logging_1882/kartor/A 3945-2022 karta.png", "A 3945-2022")</f>
        <v/>
      </c>
      <c r="Y20">
        <f>HYPERLINK("https://klasma.github.io/Logging_1882/klagomål/A 3945-2022 FSC-klagomål.docx", "A 3945-2022")</f>
        <v/>
      </c>
      <c r="Z20">
        <f>HYPERLINK("https://klasma.github.io/Logging_1882/klagomålsmail/A 3945-2022 FSC-klagomål mail.docx", "A 3945-2022")</f>
        <v/>
      </c>
      <c r="AA20">
        <f>HYPERLINK("https://klasma.github.io/Logging_1882/tillsyn/A 3945-2022 tillsynsbegäran.docx", "A 3945-2022")</f>
        <v/>
      </c>
      <c r="AB20">
        <f>HYPERLINK("https://klasma.github.io/Logging_1882/tillsynsmail/A 3945-2022 tillsynsbegäran mail.docx", "A 3945-2022")</f>
        <v/>
      </c>
      <c r="AC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46217</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s="2" t="inlineStr">
        <is>
          <t>Solvända
Svart trolldruva
Blåsippa
Grönvit nattviol</t>
        </is>
      </c>
      <c r="V21">
        <f>HYPERLINK("https://klasma.github.io/Logging_1882/artfynd/A 2441-2025 artfynd.xlsx", "A 2441-2025")</f>
        <v/>
      </c>
      <c r="W21">
        <f>HYPERLINK("https://klasma.github.io/Logging_1882/kartor/A 2441-2025 karta.png", "A 2441-2025")</f>
        <v/>
      </c>
      <c r="Y21">
        <f>HYPERLINK("https://klasma.github.io/Logging_1882/klagomål/A 2441-2025 FSC-klagomål.docx", "A 2441-2025")</f>
        <v/>
      </c>
      <c r="Z21">
        <f>HYPERLINK("https://klasma.github.io/Logging_1882/klagomålsmail/A 2441-2025 FSC-klagomål mail.docx", "A 2441-2025")</f>
        <v/>
      </c>
      <c r="AA21">
        <f>HYPERLINK("https://klasma.github.io/Logging_1882/tillsyn/A 2441-2025 tillsynsbegäran.docx", "A 2441-2025")</f>
        <v/>
      </c>
      <c r="AB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46217</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s="2" t="inlineStr">
        <is>
          <t>Dropptaggsvamp
Gropticka
Motaggsvamp
Blåmossa</t>
        </is>
      </c>
      <c r="V22">
        <f>HYPERLINK("https://klasma.github.io/Logging_1882/artfynd/A 3669-2023 artfynd.xlsx", "A 3669-2023")</f>
        <v/>
      </c>
      <c r="W22">
        <f>HYPERLINK("https://klasma.github.io/Logging_1882/kartor/A 3669-2023 karta.png", "A 3669-2023")</f>
        <v/>
      </c>
      <c r="Y22">
        <f>HYPERLINK("https://klasma.github.io/Logging_1882/klagomål/A 3669-2023 FSC-klagomål.docx", "A 3669-2023")</f>
        <v/>
      </c>
      <c r="Z22">
        <f>HYPERLINK("https://klasma.github.io/Logging_1882/klagomålsmail/A 3669-2023 FSC-klagomål mail.docx", "A 3669-2023")</f>
        <v/>
      </c>
      <c r="AA22">
        <f>HYPERLINK("https://klasma.github.io/Logging_1882/tillsyn/A 3669-2023 tillsynsbegäran.docx", "A 3669-2023")</f>
        <v/>
      </c>
      <c r="AB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46217</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s="2" t="inlineStr">
        <is>
          <t>Ask
Svinrot
Vårstarr
Spillkråka</t>
        </is>
      </c>
      <c r="V23">
        <f>HYPERLINK("https://klasma.github.io/Logging_1882/artfynd/A 54592-2023 artfynd.xlsx", "A 54592-2023")</f>
        <v/>
      </c>
      <c r="W23">
        <f>HYPERLINK("https://klasma.github.io/Logging_1882/kartor/A 54592-2023 karta.png", "A 54592-2023")</f>
        <v/>
      </c>
      <c r="Y23">
        <f>HYPERLINK("https://klasma.github.io/Logging_1882/klagomål/A 54592-2023 FSC-klagomål.docx", "A 54592-2023")</f>
        <v/>
      </c>
      <c r="Z23">
        <f>HYPERLINK("https://klasma.github.io/Logging_1882/klagomålsmail/A 54592-2023 FSC-klagomål mail.docx", "A 54592-2023")</f>
        <v/>
      </c>
      <c r="AA23">
        <f>HYPERLINK("https://klasma.github.io/Logging_1882/tillsyn/A 54592-2023 tillsynsbegäran.docx", "A 54592-2023")</f>
        <v/>
      </c>
      <c r="AB23">
        <f>HYPERLINK("https://klasma.github.io/Logging_1882/tillsynsmail/A 54592-2023 tillsynsbegäran mail.docx", "A 54592-2023")</f>
        <v/>
      </c>
      <c r="AC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46217</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s="2" t="inlineStr">
        <is>
          <t>Blodvaxing
Gulvaxing
Ängsfingersvamp
Ängsvaxing agg.</t>
        </is>
      </c>
      <c r="V24">
        <f>HYPERLINK("https://klasma.github.io/Logging_1882/artfynd/A 62084-2024 artfynd.xlsx", "A 62084-2024")</f>
        <v/>
      </c>
      <c r="W24">
        <f>HYPERLINK("https://klasma.github.io/Logging_1882/kartor/A 62084-2024 karta.png", "A 62084-2024")</f>
        <v/>
      </c>
      <c r="Y24">
        <f>HYPERLINK("https://klasma.github.io/Logging_1882/klagomål/A 62084-2024 FSC-klagomål.docx", "A 62084-2024")</f>
        <v/>
      </c>
      <c r="Z24">
        <f>HYPERLINK("https://klasma.github.io/Logging_1882/klagomålsmail/A 62084-2024 FSC-klagomål mail.docx", "A 62084-2024")</f>
        <v/>
      </c>
      <c r="AA24">
        <f>HYPERLINK("https://klasma.github.io/Logging_1882/tillsyn/A 62084-2024 tillsynsbegäran.docx", "A 62084-2024")</f>
        <v/>
      </c>
      <c r="AB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46217</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s="2" t="inlineStr">
        <is>
          <t>Grönsångare
Björksplintborre
Blåsippa
Svartvit flugsnappare</t>
        </is>
      </c>
      <c r="V25">
        <f>HYPERLINK("https://klasma.github.io/Logging_1882/artfynd/S 707-2024 artfynd.xlsx", "S 707-2024")</f>
        <v/>
      </c>
      <c r="W25">
        <f>HYPERLINK("https://klasma.github.io/Logging_1882/kartor/S 707-2024 karta.png", "S 707-2024")</f>
        <v/>
      </c>
      <c r="Y25">
        <f>HYPERLINK("https://klasma.github.io/Logging_1882/klagomål/S 707-2024 FSC-klagomål.docx", "S 707-2024")</f>
        <v/>
      </c>
      <c r="Z25">
        <f>HYPERLINK("https://klasma.github.io/Logging_1882/klagomålsmail/S 707-2024 FSC-klagomål mail.docx", "S 707-2024")</f>
        <v/>
      </c>
      <c r="AA25">
        <f>HYPERLINK("https://klasma.github.io/Logging_1882/tillsyn/S 707-2024 tillsynsbegäran.docx", "S 707-2024")</f>
        <v/>
      </c>
      <c r="AB25">
        <f>HYPERLINK("https://klasma.github.io/Logging_1882/tillsynsmail/S 707-2024 tillsynsbegäran mail.docx", "S 707-2024")</f>
        <v/>
      </c>
      <c r="AC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46217</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s="2" t="inlineStr">
        <is>
          <t>Jungfrulin
Svart trolldruva
Blåsippa</t>
        </is>
      </c>
      <c r="V26">
        <f>HYPERLINK("https://klasma.github.io/Logging_1882/artfynd/A 52264-2021 artfynd.xlsx", "A 52264-2021")</f>
        <v/>
      </c>
      <c r="W26">
        <f>HYPERLINK("https://klasma.github.io/Logging_1882/kartor/A 52264-2021 karta.png", "A 52264-2021")</f>
        <v/>
      </c>
      <c r="Y26">
        <f>HYPERLINK("https://klasma.github.io/Logging_1882/klagomål/A 52264-2021 FSC-klagomål.docx", "A 52264-2021")</f>
        <v/>
      </c>
      <c r="Z26">
        <f>HYPERLINK("https://klasma.github.io/Logging_1882/klagomålsmail/A 52264-2021 FSC-klagomål mail.docx", "A 52264-2021")</f>
        <v/>
      </c>
      <c r="AA26">
        <f>HYPERLINK("https://klasma.github.io/Logging_1882/tillsyn/A 52264-2021 tillsynsbegäran.docx", "A 52264-2021")</f>
        <v/>
      </c>
      <c r="AB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46217</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s="2" t="inlineStr">
        <is>
          <t>Jungfrulin
Svart trolldruva
Blåsippa</t>
        </is>
      </c>
      <c r="V27">
        <f>HYPERLINK("https://klasma.github.io/Logging_1882/artfynd/A 52268-2021 artfynd.xlsx", "A 52268-2021")</f>
        <v/>
      </c>
      <c r="W27">
        <f>HYPERLINK("https://klasma.github.io/Logging_1882/kartor/A 52268-2021 karta.png", "A 52268-2021")</f>
        <v/>
      </c>
      <c r="Y27">
        <f>HYPERLINK("https://klasma.github.io/Logging_1882/klagomål/A 52268-2021 FSC-klagomål.docx", "A 52268-2021")</f>
        <v/>
      </c>
      <c r="Z27">
        <f>HYPERLINK("https://klasma.github.io/Logging_1882/klagomålsmail/A 52268-2021 FSC-klagomål mail.docx", "A 52268-2021")</f>
        <v/>
      </c>
      <c r="AA27">
        <f>HYPERLINK("https://klasma.github.io/Logging_1882/tillsyn/A 52268-2021 tillsynsbegäran.docx", "A 52268-2021")</f>
        <v/>
      </c>
      <c r="AB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46217</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s="2" t="inlineStr">
        <is>
          <t>Vedtrappmossa
Blåmossa
Skuggmossa</t>
        </is>
      </c>
      <c r="V28">
        <f>HYPERLINK("https://klasma.github.io/Logging_1882/artfynd/A 66341-2021 artfynd.xlsx", "A 66341-2021")</f>
        <v/>
      </c>
      <c r="W28">
        <f>HYPERLINK("https://klasma.github.io/Logging_1882/kartor/A 66341-2021 karta.png", "A 66341-2021")</f>
        <v/>
      </c>
      <c r="Y28">
        <f>HYPERLINK("https://klasma.github.io/Logging_1882/klagomål/A 66341-2021 FSC-klagomål.docx", "A 66341-2021")</f>
        <v/>
      </c>
      <c r="Z28">
        <f>HYPERLINK("https://klasma.github.io/Logging_1882/klagomålsmail/A 66341-2021 FSC-klagomål mail.docx", "A 66341-2021")</f>
        <v/>
      </c>
      <c r="AA28">
        <f>HYPERLINK("https://klasma.github.io/Logging_1882/tillsyn/A 66341-2021 tillsynsbegäran.docx", "A 66341-2021")</f>
        <v/>
      </c>
      <c r="AB28">
        <f>HYPERLINK("https://klasma.github.io/Logging_1882/tillsynsmail/A 66341-2021 tillsynsbegäran mail.docx", "A 66341-2021")</f>
        <v/>
      </c>
    </row>
    <row r="29" ht="15" customHeight="1">
      <c r="A29" t="inlineStr">
        <is>
          <t>A 44883-2024</t>
        </is>
      </c>
      <c r="B29" t="inlineStr">
        <is>
          <t>avverkningsanmälan</t>
        </is>
      </c>
      <c r="C29" t="inlineStr">
        <is>
          <t>Avverkning för att bevara och utveckla /försöksver</t>
        </is>
      </c>
      <c r="D29" s="1" t="n">
        <v>45575</v>
      </c>
      <c r="E29" s="1" t="n">
        <v>46217</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s="2" t="inlineStr">
        <is>
          <t>Svinrot
Svart trolldruva
Gullviva</t>
        </is>
      </c>
      <c r="V29">
        <f>HYPERLINK("https://klasma.github.io/Logging_1882/artfynd/A 44883-2024 artfynd.xlsx", "A 44883-2024")</f>
        <v/>
      </c>
      <c r="W29">
        <f>HYPERLINK("https://klasma.github.io/Logging_1882/kartor/A 44883-2024 karta.png", "A 44883-2024")</f>
        <v/>
      </c>
      <c r="Y29">
        <f>HYPERLINK("https://klasma.github.io/Logging_1882/klagomål/A 44883-2024 FSC-klagomål.docx", "A 44883-2024")</f>
        <v/>
      </c>
      <c r="Z29">
        <f>HYPERLINK("https://klasma.github.io/Logging_1882/klagomålsmail/A 44883-2024 FSC-klagomål mail.docx", "A 44883-2024")</f>
        <v/>
      </c>
      <c r="AA29">
        <f>HYPERLINK("https://klasma.github.io/Logging_1882/tillsyn/A 44883-2024 tillsynsbegäran.docx", "A 44883-2024")</f>
        <v/>
      </c>
      <c r="AB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46217</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s="2" t="inlineStr">
        <is>
          <t>Vågbandad barkbock
Tjäder
Revlummer</t>
        </is>
      </c>
      <c r="V30">
        <f>HYPERLINK("https://klasma.github.io/Logging_1882/artfynd/A 11519-2023 artfynd.xlsx", "A 11519-2023")</f>
        <v/>
      </c>
      <c r="W30">
        <f>HYPERLINK("https://klasma.github.io/Logging_1882/kartor/A 11519-2023 karta.png", "A 11519-2023")</f>
        <v/>
      </c>
      <c r="Y30">
        <f>HYPERLINK("https://klasma.github.io/Logging_1882/klagomål/A 11519-2023 FSC-klagomål.docx", "A 11519-2023")</f>
        <v/>
      </c>
      <c r="Z30">
        <f>HYPERLINK("https://klasma.github.io/Logging_1882/klagomålsmail/A 11519-2023 FSC-klagomål mail.docx", "A 11519-2023")</f>
        <v/>
      </c>
      <c r="AA30">
        <f>HYPERLINK("https://klasma.github.io/Logging_1882/tillsyn/A 11519-2023 tillsynsbegäran.docx", "A 11519-2023")</f>
        <v/>
      </c>
      <c r="AB30">
        <f>HYPERLINK("https://klasma.github.io/Logging_1882/tillsynsmail/A 11519-2023 tillsynsbegäran mail.docx", "A 11519-2023")</f>
        <v/>
      </c>
      <c r="AC30">
        <f>HYPERLINK("https://klasma.github.io/Logging_1882/fåglar/A 11519-2023 prioriterade fågelarter.docx", "A 11519-2023")</f>
        <v/>
      </c>
    </row>
    <row r="31" ht="15" customHeight="1">
      <c r="A31" t="inlineStr">
        <is>
          <t>A 34515-2024</t>
        </is>
      </c>
      <c r="B31" t="inlineStr">
        <is>
          <t>avverkningsanmälan</t>
        </is>
      </c>
      <c r="C31" t="inlineStr">
        <is>
          <t>Avverkning för att bevara och utveckla /försöksver</t>
        </is>
      </c>
      <c r="D31" s="1" t="n">
        <v>45525</v>
      </c>
      <c r="E31" s="1" t="n">
        <v>46217</v>
      </c>
      <c r="F31" t="inlineStr">
        <is>
          <t>ÖREBRO LÄN</t>
        </is>
      </c>
      <c r="G31" t="inlineStr">
        <is>
          <t>ASKERSUND</t>
        </is>
      </c>
      <c r="H31" t="inlineStr">
        <is>
          <t>Sveaskog</t>
        </is>
      </c>
      <c r="I31" t="n">
        <v>1.5</v>
      </c>
      <c r="J31" t="n">
        <v>2</v>
      </c>
      <c r="K31" t="n">
        <v>1</v>
      </c>
      <c r="L31" t="n">
        <v>0</v>
      </c>
      <c r="M31" t="n">
        <v>0</v>
      </c>
      <c r="N31" t="n">
        <v>0</v>
      </c>
      <c r="O31" t="n">
        <v>0</v>
      </c>
      <c r="P31" t="n">
        <v>0</v>
      </c>
      <c r="Q31" t="n">
        <v>0</v>
      </c>
      <c r="R31" t="n">
        <v>0</v>
      </c>
      <c r="S31" t="n">
        <v>3</v>
      </c>
      <c r="T31" t="n">
        <v>3</v>
      </c>
      <c r="U31" s="2" t="inlineStr">
        <is>
          <t>Trubbfjädermossa
Blåsippa
Gröngöling</t>
        </is>
      </c>
      <c r="V31">
        <f>HYPERLINK("https://klasma.github.io/Logging_1882/artfynd/A 34515-2024 artfynd.xlsx", "A 34515-2024")</f>
        <v/>
      </c>
      <c r="W31">
        <f>HYPERLINK("https://klasma.github.io/Logging_1882/kartor/A 34515-2024 karta.png", "A 34515-2024")</f>
        <v/>
      </c>
      <c r="Y31">
        <f>HYPERLINK("https://klasma.github.io/Logging_1882/klagomål/A 34515-2024 FSC-klagomål.docx", "A 34515-2024")</f>
        <v/>
      </c>
      <c r="Z31">
        <f>HYPERLINK("https://klasma.github.io/Logging_1882/klagomålsmail/A 34515-2024 FSC-klagomål mail.docx", "A 34515-2024")</f>
        <v/>
      </c>
      <c r="AA31">
        <f>HYPERLINK("https://klasma.github.io/Logging_1882/tillsyn/A 34515-2024 tillsynsbegäran.docx", "A 34515-2024")</f>
        <v/>
      </c>
      <c r="AB31">
        <f>HYPERLINK("https://klasma.github.io/Logging_1882/tillsynsmail/A 34515-2024 tillsynsbegäran mail.docx", "A 34515-2024")</f>
        <v/>
      </c>
    </row>
    <row r="32" ht="15" customHeight="1">
      <c r="A32" t="inlineStr">
        <is>
          <t>A 30410-2023</t>
        </is>
      </c>
      <c r="B32" t="inlineStr">
        <is>
          <t>avverkningsanmälan</t>
        </is>
      </c>
      <c r="C32" t="inlineStr">
        <is>
          <t>Avverkning för att bevara och utveckla /försöksver</t>
        </is>
      </c>
      <c r="D32" s="1" t="n">
        <v>45111</v>
      </c>
      <c r="E32" s="1" t="n">
        <v>46217</v>
      </c>
      <c r="F32" t="inlineStr">
        <is>
          <t>ÖREBRO LÄN</t>
        </is>
      </c>
      <c r="G32" t="inlineStr">
        <is>
          <t>ASKERSUND</t>
        </is>
      </c>
      <c r="H32" t="inlineStr">
        <is>
          <t>Sveaskog</t>
        </is>
      </c>
      <c r="I32" t="n">
        <v>4.9</v>
      </c>
      <c r="J32" t="n">
        <v>1</v>
      </c>
      <c r="K32" t="n">
        <v>0</v>
      </c>
      <c r="L32" t="n">
        <v>1</v>
      </c>
      <c r="M32" t="n">
        <v>0</v>
      </c>
      <c r="N32" t="n">
        <v>1</v>
      </c>
      <c r="O32" t="n">
        <v>0</v>
      </c>
      <c r="P32" t="n">
        <v>0</v>
      </c>
      <c r="Q32" t="n">
        <v>2</v>
      </c>
      <c r="R32" t="n">
        <v>1</v>
      </c>
      <c r="S32" t="n">
        <v>3</v>
      </c>
      <c r="T32" t="n">
        <v>3</v>
      </c>
      <c r="U32" s="2" t="inlineStr">
        <is>
          <t>Ask
Slåtterfibbla
Blåsippa</t>
        </is>
      </c>
      <c r="V32">
        <f>HYPERLINK("https://klasma.github.io/Logging_1882/artfynd/A 30410-2023 artfynd.xlsx", "A 30410-2023")</f>
        <v/>
      </c>
      <c r="W32">
        <f>HYPERLINK("https://klasma.github.io/Logging_1882/kartor/A 30410-2023 karta.png", "A 30410-2023")</f>
        <v/>
      </c>
      <c r="Y32">
        <f>HYPERLINK("https://klasma.github.io/Logging_1882/klagomål/A 30410-2023 FSC-klagomål.docx", "A 30410-2023")</f>
        <v/>
      </c>
      <c r="Z32">
        <f>HYPERLINK("https://klasma.github.io/Logging_1882/klagomålsmail/A 30410-2023 FSC-klagomål mail.docx", "A 30410-2023")</f>
        <v/>
      </c>
      <c r="AA32">
        <f>HYPERLINK("https://klasma.github.io/Logging_1882/tillsyn/A 30410-2023 tillsynsbegäran.docx", "A 30410-2023")</f>
        <v/>
      </c>
      <c r="AB32">
        <f>HYPERLINK("https://klasma.github.io/Logging_1882/tillsynsmail/A 30410-2023 tillsynsbegäran mail.docx", "A 30410-2023")</f>
        <v/>
      </c>
    </row>
    <row r="33" ht="15" customHeight="1">
      <c r="A33" t="inlineStr">
        <is>
          <t>A 38299-2022</t>
        </is>
      </c>
      <c r="B33" t="inlineStr">
        <is>
          <t>avverkningsanmälan</t>
        </is>
      </c>
      <c r="C33" t="inlineStr">
        <is>
          <t>Föryngringsavverkning</t>
        </is>
      </c>
      <c r="D33" s="1" t="n">
        <v>44812</v>
      </c>
      <c r="E33" s="1" t="n">
        <v>46217</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s="2" t="inlineStr">
        <is>
          <t>Mörk husmossa
Skogshakmossa
Nattviol</t>
        </is>
      </c>
      <c r="V33">
        <f>HYPERLINK("https://klasma.github.io/Logging_1882/artfynd/A 38299-2022 artfynd.xlsx", "A 38299-2022")</f>
        <v/>
      </c>
      <c r="W33">
        <f>HYPERLINK("https://klasma.github.io/Logging_1882/kartor/A 38299-2022 karta.png", "A 38299-2022")</f>
        <v/>
      </c>
      <c r="Y33">
        <f>HYPERLINK("https://klasma.github.io/Logging_1882/klagomål/A 38299-2022 FSC-klagomål.docx", "A 38299-2022")</f>
        <v/>
      </c>
      <c r="Z33">
        <f>HYPERLINK("https://klasma.github.io/Logging_1882/klagomålsmail/A 38299-2022 FSC-klagomål mail.docx", "A 38299-2022")</f>
        <v/>
      </c>
      <c r="AA33">
        <f>HYPERLINK("https://klasma.github.io/Logging_1882/tillsyn/A 38299-2022 tillsynsbegäran.docx", "A 38299-2022")</f>
        <v/>
      </c>
      <c r="AB33">
        <f>HYPERLINK("https://klasma.github.io/Logging_1882/tillsynsmail/A 38299-2022 tillsynsbegäran mail.docx", "A 38299-2022")</f>
        <v/>
      </c>
    </row>
    <row r="34" ht="15" customHeight="1">
      <c r="A34" t="inlineStr">
        <is>
          <t>A 49813-2023</t>
        </is>
      </c>
      <c r="B34" t="inlineStr">
        <is>
          <t>avverkningsanmälan</t>
        </is>
      </c>
      <c r="C34" t="inlineStr">
        <is>
          <t>Föryngringsavverkning</t>
        </is>
      </c>
      <c r="D34" s="1" t="n">
        <v>45212</v>
      </c>
      <c r="E34" s="1" t="n">
        <v>46217</v>
      </c>
      <c r="F34" t="inlineStr">
        <is>
          <t>ÖREBRO LÄN</t>
        </is>
      </c>
      <c r="G34" t="inlineStr">
        <is>
          <t>ASKERSUND</t>
        </is>
      </c>
      <c r="I34" t="n">
        <v>4.7</v>
      </c>
      <c r="J34" t="n">
        <v>1</v>
      </c>
      <c r="K34" t="n">
        <v>1</v>
      </c>
      <c r="L34" t="n">
        <v>1</v>
      </c>
      <c r="M34" t="n">
        <v>0</v>
      </c>
      <c r="N34" t="n">
        <v>0</v>
      </c>
      <c r="O34" t="n">
        <v>0</v>
      </c>
      <c r="P34" t="n">
        <v>0</v>
      </c>
      <c r="Q34" t="n">
        <v>1</v>
      </c>
      <c r="R34" t="n">
        <v>0</v>
      </c>
      <c r="S34" t="n">
        <v>3</v>
      </c>
      <c r="T34" t="n">
        <v>4</v>
      </c>
      <c r="U34" s="2" t="inlineStr">
        <is>
          <t>Motaggsvamp
Björksplintborre
Mattlummer</t>
        </is>
      </c>
      <c r="V34">
        <f>HYPERLINK("https://klasma.github.io/Logging_1882/artfynd/A 49813-2023 artfynd.xlsx", "A 49813-2023")</f>
        <v/>
      </c>
      <c r="W34">
        <f>HYPERLINK("https://klasma.github.io/Logging_1882/kartor/A 49813-2023 karta.png", "A 49813-2023")</f>
        <v/>
      </c>
      <c r="Y34">
        <f>HYPERLINK("https://klasma.github.io/Logging_1882/klagomål/A 49813-2023 FSC-klagomål.docx", "A 49813-2023")</f>
        <v/>
      </c>
      <c r="Z34">
        <f>HYPERLINK("https://klasma.github.io/Logging_1882/klagomålsmail/A 49813-2023 FSC-klagomål mail.docx", "A 49813-2023")</f>
        <v/>
      </c>
      <c r="AA34">
        <f>HYPERLINK("https://klasma.github.io/Logging_1882/tillsyn/A 49813-2023 tillsynsbegäran.docx", "A 49813-2023")</f>
        <v/>
      </c>
      <c r="AB34">
        <f>HYPERLINK("https://klasma.github.io/Logging_1882/tillsynsmail/A 49813-2023 tillsynsbegäran mail.docx", "A 49813-2023")</f>
        <v/>
      </c>
    </row>
    <row r="35" ht="15" customHeight="1">
      <c r="A35" t="inlineStr">
        <is>
          <t>A 3731-2025</t>
        </is>
      </c>
      <c r="B35" t="inlineStr">
        <is>
          <t>avverkningsanmälan</t>
        </is>
      </c>
      <c r="C35" t="inlineStr">
        <is>
          <t>Föryngringsavverkning</t>
        </is>
      </c>
      <c r="D35" s="1" t="n">
        <v>45681</v>
      </c>
      <c r="E35" s="1" t="n">
        <v>46217</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s="2" t="inlineStr">
        <is>
          <t>Slåttergubbe
Slåtterfibbla
Svinrot</t>
        </is>
      </c>
      <c r="V35">
        <f>HYPERLINK("https://klasma.github.io/Logging_1882/artfynd/A 3731-2025 artfynd.xlsx", "A 3731-2025")</f>
        <v/>
      </c>
      <c r="W35">
        <f>HYPERLINK("https://klasma.github.io/Logging_1882/kartor/A 3731-2025 karta.png", "A 3731-2025")</f>
        <v/>
      </c>
      <c r="Y35">
        <f>HYPERLINK("https://klasma.github.io/Logging_1882/klagomål/A 3731-2025 FSC-klagomål.docx", "A 3731-2025")</f>
        <v/>
      </c>
      <c r="Z35">
        <f>HYPERLINK("https://klasma.github.io/Logging_1882/klagomålsmail/A 3731-2025 FSC-klagomål mail.docx", "A 3731-2025")</f>
        <v/>
      </c>
      <c r="AA35">
        <f>HYPERLINK("https://klasma.github.io/Logging_1882/tillsyn/A 3731-2025 tillsynsbegäran.docx", "A 3731-2025")</f>
        <v/>
      </c>
      <c r="AB35">
        <f>HYPERLINK("https://klasma.github.io/Logging_1882/tillsynsmail/A 3731-2025 tillsynsbegäran mail.docx", "A 3731-2025")</f>
        <v/>
      </c>
    </row>
    <row r="36" ht="15" customHeight="1">
      <c r="A36" t="inlineStr">
        <is>
          <t>A 26868-2025</t>
        </is>
      </c>
      <c r="B36" t="inlineStr">
        <is>
          <t>avverkningsanmälan</t>
        </is>
      </c>
      <c r="C36" t="inlineStr">
        <is>
          <t>Avverkning för annat ändamål</t>
        </is>
      </c>
      <c r="D36" s="1" t="n">
        <v>45810</v>
      </c>
      <c r="E36" s="1" t="n">
        <v>46217</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s="2" t="inlineStr">
        <is>
          <t>Blåsippa
Mattlummer
Vanlig groda</t>
        </is>
      </c>
      <c r="V36">
        <f>HYPERLINK("https://klasma.github.io/Logging_1882/artfynd/A 26868-2025 artfynd.xlsx", "A 26868-2025")</f>
        <v/>
      </c>
      <c r="W36">
        <f>HYPERLINK("https://klasma.github.io/Logging_1882/kartor/A 26868-2025 karta.png", "A 26868-2025")</f>
        <v/>
      </c>
      <c r="Y36">
        <f>HYPERLINK("https://klasma.github.io/Logging_1882/klagomål/A 26868-2025 FSC-klagomål.docx", "A 26868-2025")</f>
        <v/>
      </c>
      <c r="Z36">
        <f>HYPERLINK("https://klasma.github.io/Logging_1882/klagomålsmail/A 26868-2025 FSC-klagomål mail.docx", "A 26868-2025")</f>
        <v/>
      </c>
      <c r="AA36">
        <f>HYPERLINK("https://klasma.github.io/Logging_1882/tillsyn/A 26868-2025 tillsynsbegäran.docx", "A 26868-2025")</f>
        <v/>
      </c>
      <c r="AB36">
        <f>HYPERLINK("https://klasma.github.io/Logging_1882/tillsynsmail/A 26868-2025 tillsynsbegäran mail.docx", "A 26868-2025")</f>
        <v/>
      </c>
    </row>
    <row r="37" ht="15" customHeight="1">
      <c r="A37" t="inlineStr">
        <is>
          <t>A 29366-2025</t>
        </is>
      </c>
      <c r="B37" t="inlineStr">
        <is>
          <t>avverkningsanmälan</t>
        </is>
      </c>
      <c r="C37" t="inlineStr">
        <is>
          <t>Föryngringsavverkning</t>
        </is>
      </c>
      <c r="D37" s="1" t="n">
        <v>45824</v>
      </c>
      <c r="E37" s="1" t="n">
        <v>46217</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s="2" t="inlineStr">
        <is>
          <t>Gullpudra
Svart trolldruva
Tibast</t>
        </is>
      </c>
      <c r="V37">
        <f>HYPERLINK("https://klasma.github.io/Logging_1882/artfynd/A 29366-2025 artfynd.xlsx", "A 29366-2025")</f>
        <v/>
      </c>
      <c r="W37">
        <f>HYPERLINK("https://klasma.github.io/Logging_1882/kartor/A 29366-2025 karta.png", "A 29366-2025")</f>
        <v/>
      </c>
      <c r="Y37">
        <f>HYPERLINK("https://klasma.github.io/Logging_1882/klagomål/A 29366-2025 FSC-klagomål.docx", "A 29366-2025")</f>
        <v/>
      </c>
      <c r="Z37">
        <f>HYPERLINK("https://klasma.github.io/Logging_1882/klagomålsmail/A 29366-2025 FSC-klagomål mail.docx", "A 29366-2025")</f>
        <v/>
      </c>
      <c r="AA37">
        <f>HYPERLINK("https://klasma.github.io/Logging_1882/tillsyn/A 29366-2025 tillsynsbegäran.docx", "A 29366-2025")</f>
        <v/>
      </c>
      <c r="AB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46217</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s="2" t="inlineStr">
        <is>
          <t>Ask
Slåtterfibbla
Blåsippa</t>
        </is>
      </c>
      <c r="V38">
        <f>HYPERLINK("https://klasma.github.io/Logging_1882/artfynd/S 639-2023 artfynd.xlsx", "S 639-2023")</f>
        <v/>
      </c>
      <c r="W38">
        <f>HYPERLINK("https://klasma.github.io/Logging_1882/kartor/S 639-2023 karta.png", "S 639-2023")</f>
        <v/>
      </c>
      <c r="Y38">
        <f>HYPERLINK("https://klasma.github.io/Logging_1882/klagomål/S 639-2023 FSC-klagomål.docx", "S 639-2023")</f>
        <v/>
      </c>
      <c r="Z38">
        <f>HYPERLINK("https://klasma.github.io/Logging_1882/klagomålsmail/S 639-2023 FSC-klagomål mail.docx", "S 639-2023")</f>
        <v/>
      </c>
      <c r="AA38">
        <f>HYPERLINK("https://klasma.github.io/Logging_1882/tillsyn/S 639-2023 tillsynsbegäran.docx", "S 639-2023")</f>
        <v/>
      </c>
      <c r="AB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46217</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s="2" t="inlineStr">
        <is>
          <t>Björksplintborre
Revlummer</t>
        </is>
      </c>
      <c r="V39">
        <f>HYPERLINK("https://klasma.github.io/Logging_1882/artfynd/A 22787-2022 artfynd.xlsx", "A 22787-2022")</f>
        <v/>
      </c>
      <c r="W39">
        <f>HYPERLINK("https://klasma.github.io/Logging_1882/kartor/A 22787-2022 karta.png", "A 22787-2022")</f>
        <v/>
      </c>
      <c r="Y39">
        <f>HYPERLINK("https://klasma.github.io/Logging_1882/klagomål/A 22787-2022 FSC-klagomål.docx", "A 22787-2022")</f>
        <v/>
      </c>
      <c r="Z39">
        <f>HYPERLINK("https://klasma.github.io/Logging_1882/klagomålsmail/A 22787-2022 FSC-klagomål mail.docx", "A 22787-2022")</f>
        <v/>
      </c>
      <c r="AA39">
        <f>HYPERLINK("https://klasma.github.io/Logging_1882/tillsyn/A 22787-2022 tillsynsbegäran.docx", "A 22787-2022")</f>
        <v/>
      </c>
      <c r="AB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46217</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s="2" t="inlineStr">
        <is>
          <t>Tallticka
Blåsippa</t>
        </is>
      </c>
      <c r="V40">
        <f>HYPERLINK("https://klasma.github.io/Logging_1882/artfynd/A 52259-2021 artfynd.xlsx", "A 52259-2021")</f>
        <v/>
      </c>
      <c r="W40">
        <f>HYPERLINK("https://klasma.github.io/Logging_1882/kartor/A 52259-2021 karta.png", "A 52259-2021")</f>
        <v/>
      </c>
      <c r="Y40">
        <f>HYPERLINK("https://klasma.github.io/Logging_1882/klagomål/A 52259-2021 FSC-klagomål.docx", "A 52259-2021")</f>
        <v/>
      </c>
      <c r="Z40">
        <f>HYPERLINK("https://klasma.github.io/Logging_1882/klagomålsmail/A 52259-2021 FSC-klagomål mail.docx", "A 52259-2021")</f>
        <v/>
      </c>
      <c r="AA40">
        <f>HYPERLINK("https://klasma.github.io/Logging_1882/tillsyn/A 52259-2021 tillsynsbegäran.docx", "A 52259-2021")</f>
        <v/>
      </c>
      <c r="AB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46217</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s="2" t="inlineStr">
        <is>
          <t>Mattlummer
Fläcknycklar</t>
        </is>
      </c>
      <c r="V41">
        <f>HYPERLINK("https://klasma.github.io/Logging_1882/artfynd/A 3460-2025 artfynd.xlsx", "A 3460-2025")</f>
        <v/>
      </c>
      <c r="W41">
        <f>HYPERLINK("https://klasma.github.io/Logging_1882/kartor/A 3460-2025 karta.png", "A 3460-2025")</f>
        <v/>
      </c>
      <c r="Y41">
        <f>HYPERLINK("https://klasma.github.io/Logging_1882/klagomål/A 3460-2025 FSC-klagomål.docx", "A 3460-2025")</f>
        <v/>
      </c>
      <c r="Z41">
        <f>HYPERLINK("https://klasma.github.io/Logging_1882/klagomålsmail/A 3460-2025 FSC-klagomål mail.docx", "A 3460-2025")</f>
        <v/>
      </c>
      <c r="AA41">
        <f>HYPERLINK("https://klasma.github.io/Logging_1882/tillsyn/A 3460-2025 tillsynsbegäran.docx", "A 3460-2025")</f>
        <v/>
      </c>
      <c r="AB41">
        <f>HYPERLINK("https://klasma.github.io/Logging_1882/tillsynsmail/A 3460-2025 tillsynsbegäran mail.docx", "A 3460-2025")</f>
        <v/>
      </c>
    </row>
    <row r="42" ht="15" customHeight="1">
      <c r="A42" t="inlineStr">
        <is>
          <t>A 27023-2026</t>
        </is>
      </c>
      <c r="B42" t="inlineStr">
        <is>
          <t>avverkningsanmälan</t>
        </is>
      </c>
      <c r="C42" t="inlineStr">
        <is>
          <t>Föryngringsavverkning</t>
        </is>
      </c>
      <c r="D42" s="1" t="n">
        <v>46185</v>
      </c>
      <c r="E42" s="1" t="n">
        <v>46217</v>
      </c>
      <c r="F42" t="inlineStr">
        <is>
          <t>ÖREBRO LÄN</t>
        </is>
      </c>
      <c r="G42" t="inlineStr">
        <is>
          <t>ASKERSUND</t>
        </is>
      </c>
      <c r="H42" t="inlineStr">
        <is>
          <t>Sveaskog</t>
        </is>
      </c>
      <c r="I42" t="n">
        <v>2.3</v>
      </c>
      <c r="J42" t="n">
        <v>1</v>
      </c>
      <c r="K42" t="n">
        <v>1</v>
      </c>
      <c r="L42" t="n">
        <v>0</v>
      </c>
      <c r="M42" t="n">
        <v>0</v>
      </c>
      <c r="N42" t="n">
        <v>0</v>
      </c>
      <c r="O42" t="n">
        <v>0</v>
      </c>
      <c r="P42" t="n">
        <v>0</v>
      </c>
      <c r="Q42" t="n">
        <v>0</v>
      </c>
      <c r="R42" t="n">
        <v>0</v>
      </c>
      <c r="S42" t="n">
        <v>2</v>
      </c>
      <c r="T42" t="n">
        <v>2</v>
      </c>
      <c r="U42" s="2" t="inlineStr">
        <is>
          <t>Grönpyrola
Blåsippa</t>
        </is>
      </c>
      <c r="V42">
        <f>HYPERLINK("https://klasma.github.io/Logging_1882/artfynd/A 27023-2026 artfynd.xlsx", "A 27023-2026")</f>
        <v/>
      </c>
      <c r="W42">
        <f>HYPERLINK("https://klasma.github.io/Logging_1882/kartor/A 27023-2026 karta.png", "A 27023-2026")</f>
        <v/>
      </c>
      <c r="Y42">
        <f>HYPERLINK("https://klasma.github.io/Logging_1882/klagomål/A 27023-2026 FSC-klagomål.docx", "A 27023-2026")</f>
        <v/>
      </c>
      <c r="Z42">
        <f>HYPERLINK("https://klasma.github.io/Logging_1882/klagomålsmail/A 27023-2026 FSC-klagomål mail.docx", "A 27023-2026")</f>
        <v/>
      </c>
      <c r="AA42">
        <f>HYPERLINK("https://klasma.github.io/Logging_1882/tillsyn/A 27023-2026 tillsynsbegäran.docx", "A 27023-2026")</f>
        <v/>
      </c>
      <c r="AB42">
        <f>HYPERLINK("https://klasma.github.io/Logging_1882/tillsynsmail/A 27023-2026 tillsynsbegäran mail.docx", "A 27023-2026")</f>
        <v/>
      </c>
    </row>
    <row r="43" ht="15" customHeight="1">
      <c r="A43" t="inlineStr">
        <is>
          <t>A 23750-2022</t>
        </is>
      </c>
      <c r="B43" t="inlineStr">
        <is>
          <t>avverkningsanmälan</t>
        </is>
      </c>
      <c r="C43" t="inlineStr">
        <is>
          <t>Föryngringsavverkning</t>
        </is>
      </c>
      <c r="D43" s="1" t="n">
        <v>44722</v>
      </c>
      <c r="E43" s="1" t="n">
        <v>46217</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s="2" t="inlineStr">
        <is>
          <t>Blåsippa
Revlummer</t>
        </is>
      </c>
      <c r="V43">
        <f>HYPERLINK("https://klasma.github.io/Logging_1882/artfynd/A 23750-2022 artfynd.xlsx", "A 23750-2022")</f>
        <v/>
      </c>
      <c r="W43">
        <f>HYPERLINK("https://klasma.github.io/Logging_1882/kartor/A 23750-2022 karta.png", "A 23750-2022")</f>
        <v/>
      </c>
      <c r="Y43">
        <f>HYPERLINK("https://klasma.github.io/Logging_1882/klagomål/A 23750-2022 FSC-klagomål.docx", "A 23750-2022")</f>
        <v/>
      </c>
      <c r="Z43">
        <f>HYPERLINK("https://klasma.github.io/Logging_1882/klagomålsmail/A 23750-2022 FSC-klagomål mail.docx", "A 23750-2022")</f>
        <v/>
      </c>
      <c r="AA43">
        <f>HYPERLINK("https://klasma.github.io/Logging_1882/tillsyn/A 23750-2022 tillsynsbegäran.docx", "A 23750-2022")</f>
        <v/>
      </c>
      <c r="AB43">
        <f>HYPERLINK("https://klasma.github.io/Logging_1882/tillsynsmail/A 23750-2022 tillsynsbegäran mail.docx", "A 23750-2022")</f>
        <v/>
      </c>
    </row>
    <row r="44" ht="15" customHeight="1">
      <c r="A44" t="inlineStr">
        <is>
          <t>A 25006-2026</t>
        </is>
      </c>
      <c r="B44" t="inlineStr">
        <is>
          <t>avverkningsanmälan</t>
        </is>
      </c>
      <c r="C44" t="inlineStr">
        <is>
          <t>Föryngringsavverkning</t>
        </is>
      </c>
      <c r="D44" s="1" t="n">
        <v>46174</v>
      </c>
      <c r="E44" s="1" t="n">
        <v>46217</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s="2" t="inlineStr">
        <is>
          <t>Fjällig taggsvamp s.str.
Revlummer</t>
        </is>
      </c>
      <c r="V44">
        <f>HYPERLINK("https://klasma.github.io/Logging_1882/artfynd/A 25006-2026 artfynd.xlsx", "A 25006-2026")</f>
        <v/>
      </c>
      <c r="W44">
        <f>HYPERLINK("https://klasma.github.io/Logging_1882/kartor/A 25006-2026 karta.png", "A 25006-2026")</f>
        <v/>
      </c>
      <c r="Y44">
        <f>HYPERLINK("https://klasma.github.io/Logging_1882/klagomål/A 25006-2026 FSC-klagomål.docx", "A 25006-2026")</f>
        <v/>
      </c>
      <c r="Z44">
        <f>HYPERLINK("https://klasma.github.io/Logging_1882/klagomålsmail/A 25006-2026 FSC-klagomål mail.docx", "A 25006-2026")</f>
        <v/>
      </c>
      <c r="AA44">
        <f>HYPERLINK("https://klasma.github.io/Logging_1882/tillsyn/A 25006-2026 tillsynsbegäran.docx", "A 25006-2026")</f>
        <v/>
      </c>
      <c r="AB44">
        <f>HYPERLINK("https://klasma.github.io/Logging_1882/tillsynsmail/A 25006-2026 tillsynsbegäran mail.docx", "A 25006-2026")</f>
        <v/>
      </c>
    </row>
    <row r="45" ht="15" customHeight="1">
      <c r="A45" t="inlineStr">
        <is>
          <t>S 1741-2026</t>
        </is>
      </c>
      <c r="B45" t="inlineStr">
        <is>
          <t>samrådsanmälan</t>
        </is>
      </c>
      <c r="C45" t="inlineStr">
        <is>
          <t>Annan skogsbruksåtgärd</t>
        </is>
      </c>
      <c r="D45" s="1" t="n">
        <v>46181</v>
      </c>
      <c r="E45" s="1" t="n">
        <v>46217</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s="2" t="inlineStr">
        <is>
          <t>Backstarr
Svinrot</t>
        </is>
      </c>
      <c r="V45">
        <f>HYPERLINK("https://klasma.github.io/Logging_1882/artfynd/S 1741-2026 artfynd.xlsx", "S 1741-2026")</f>
        <v/>
      </c>
      <c r="W45">
        <f>HYPERLINK("https://klasma.github.io/Logging_1882/kartor/S 1741-2026 karta.png", "S 1741-2026")</f>
        <v/>
      </c>
      <c r="Y45">
        <f>HYPERLINK("https://klasma.github.io/Logging_1882/klagomål/S 1741-2026 FSC-klagomål.docx", "S 1741-2026")</f>
        <v/>
      </c>
      <c r="Z45">
        <f>HYPERLINK("https://klasma.github.io/Logging_1882/klagomålsmail/S 1741-2026 FSC-klagomål mail.docx", "S 1741-2026")</f>
        <v/>
      </c>
      <c r="AA45">
        <f>HYPERLINK("https://klasma.github.io/Logging_1882/tillsyn/S 1741-2026 tillsynsbegäran.docx", "S 1741-2026")</f>
        <v/>
      </c>
      <c r="AB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46217</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s="2" t="inlineStr">
        <is>
          <t>Blåsippa</t>
        </is>
      </c>
      <c r="V46">
        <f>HYPERLINK("https://klasma.github.io/Logging_1882/artfynd/A 42839-2021 artfynd.xlsx", "A 42839-2021")</f>
        <v/>
      </c>
      <c r="W46">
        <f>HYPERLINK("https://klasma.github.io/Logging_1882/kartor/A 42839-2021 karta.png", "A 42839-2021")</f>
        <v/>
      </c>
      <c r="Y46">
        <f>HYPERLINK("https://klasma.github.io/Logging_1882/klagomål/A 42839-2021 FSC-klagomål.docx", "A 42839-2021")</f>
        <v/>
      </c>
      <c r="Z46">
        <f>HYPERLINK("https://klasma.github.io/Logging_1882/klagomålsmail/A 42839-2021 FSC-klagomål mail.docx", "A 42839-2021")</f>
        <v/>
      </c>
      <c r="AA46">
        <f>HYPERLINK("https://klasma.github.io/Logging_1882/tillsyn/A 42839-2021 tillsynsbegäran.docx", "A 42839-2021")</f>
        <v/>
      </c>
      <c r="AB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46217</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s="2" t="inlineStr">
        <is>
          <t>Blåsippa</t>
        </is>
      </c>
      <c r="V47">
        <f>HYPERLINK("https://klasma.github.io/Logging_1882/artfynd/A 39575-2021 artfynd.xlsx", "A 39575-2021")</f>
        <v/>
      </c>
      <c r="W47">
        <f>HYPERLINK("https://klasma.github.io/Logging_1882/kartor/A 39575-2021 karta.png", "A 39575-2021")</f>
        <v/>
      </c>
      <c r="Y47">
        <f>HYPERLINK("https://klasma.github.io/Logging_1882/klagomål/A 39575-2021 FSC-klagomål.docx", "A 39575-2021")</f>
        <v/>
      </c>
      <c r="Z47">
        <f>HYPERLINK("https://klasma.github.io/Logging_1882/klagomålsmail/A 39575-2021 FSC-klagomål mail.docx", "A 39575-2021")</f>
        <v/>
      </c>
      <c r="AA47">
        <f>HYPERLINK("https://klasma.github.io/Logging_1882/tillsyn/A 39575-2021 tillsynsbegäran.docx", "A 39575-2021")</f>
        <v/>
      </c>
      <c r="AB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46217</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s="2" t="inlineStr">
        <is>
          <t>Utter</t>
        </is>
      </c>
      <c r="V48">
        <f>HYPERLINK("https://klasma.github.io/Logging_1882/artfynd/A 48684-2021 artfynd.xlsx", "A 48684-2021")</f>
        <v/>
      </c>
      <c r="W48">
        <f>HYPERLINK("https://klasma.github.io/Logging_1882/kartor/A 48684-2021 karta.png", "A 48684-2021")</f>
        <v/>
      </c>
      <c r="Y48">
        <f>HYPERLINK("https://klasma.github.io/Logging_1882/klagomål/A 48684-2021 FSC-klagomål.docx", "A 48684-2021")</f>
        <v/>
      </c>
      <c r="Z48">
        <f>HYPERLINK("https://klasma.github.io/Logging_1882/klagomålsmail/A 48684-2021 FSC-klagomål mail.docx", "A 48684-2021")</f>
        <v/>
      </c>
      <c r="AA48">
        <f>HYPERLINK("https://klasma.github.io/Logging_1882/tillsyn/A 48684-2021 tillsynsbegäran.docx", "A 48684-2021")</f>
        <v/>
      </c>
      <c r="AB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46217</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s="2" t="inlineStr">
        <is>
          <t>Revlummer</t>
        </is>
      </c>
      <c r="V49">
        <f>HYPERLINK("https://klasma.github.io/Logging_1882/artfynd/A 47371-2022 artfynd.xlsx", "A 47371-2022")</f>
        <v/>
      </c>
      <c r="W49">
        <f>HYPERLINK("https://klasma.github.io/Logging_1882/kartor/A 47371-2022 karta.png", "A 47371-2022")</f>
        <v/>
      </c>
      <c r="Y49">
        <f>HYPERLINK("https://klasma.github.io/Logging_1882/klagomål/A 47371-2022 FSC-klagomål.docx", "A 47371-2022")</f>
        <v/>
      </c>
      <c r="Z49">
        <f>HYPERLINK("https://klasma.github.io/Logging_1882/klagomålsmail/A 47371-2022 FSC-klagomål mail.docx", "A 47371-2022")</f>
        <v/>
      </c>
      <c r="AA49">
        <f>HYPERLINK("https://klasma.github.io/Logging_1882/tillsyn/A 47371-2022 tillsynsbegäran.docx", "A 47371-2022")</f>
        <v/>
      </c>
      <c r="AB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46217</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s="2" t="inlineStr">
        <is>
          <t>Gransotdyna</t>
        </is>
      </c>
      <c r="V50">
        <f>HYPERLINK("https://klasma.github.io/Logging_1882/artfynd/A 66339-2021 artfynd.xlsx", "A 66339-2021")</f>
        <v/>
      </c>
      <c r="W50">
        <f>HYPERLINK("https://klasma.github.io/Logging_1882/kartor/A 66339-2021 karta.png", "A 66339-2021")</f>
        <v/>
      </c>
      <c r="Y50">
        <f>HYPERLINK("https://klasma.github.io/Logging_1882/klagomål/A 66339-2021 FSC-klagomål.docx", "A 66339-2021")</f>
        <v/>
      </c>
      <c r="Z50">
        <f>HYPERLINK("https://klasma.github.io/Logging_1882/klagomålsmail/A 66339-2021 FSC-klagomål mail.docx", "A 66339-2021")</f>
        <v/>
      </c>
      <c r="AA50">
        <f>HYPERLINK("https://klasma.github.io/Logging_1882/tillsyn/A 66339-2021 tillsynsbegäran.docx", "A 66339-2021")</f>
        <v/>
      </c>
      <c r="AB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46217</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s="2" t="inlineStr">
        <is>
          <t>Revlummer</t>
        </is>
      </c>
      <c r="V51">
        <f>HYPERLINK("https://klasma.github.io/Logging_1882/artfynd/A 5504-2022 artfynd.xlsx", "A 5504-2022")</f>
        <v/>
      </c>
      <c r="W51">
        <f>HYPERLINK("https://klasma.github.io/Logging_1882/kartor/A 5504-2022 karta.png", "A 5504-2022")</f>
        <v/>
      </c>
      <c r="Y51">
        <f>HYPERLINK("https://klasma.github.io/Logging_1882/klagomål/A 5504-2022 FSC-klagomål.docx", "A 5504-2022")</f>
        <v/>
      </c>
      <c r="Z51">
        <f>HYPERLINK("https://klasma.github.io/Logging_1882/klagomålsmail/A 5504-2022 FSC-klagomål mail.docx", "A 5504-2022")</f>
        <v/>
      </c>
      <c r="AA51">
        <f>HYPERLINK("https://klasma.github.io/Logging_1882/tillsyn/A 5504-2022 tillsynsbegäran.docx", "A 5504-2022")</f>
        <v/>
      </c>
      <c r="AB51">
        <f>HYPERLINK("https://klasma.github.io/Logging_1882/tillsynsmail/A 5504-2022 tillsynsbegäran mail.docx", "A 5504-2022")</f>
        <v/>
      </c>
    </row>
    <row r="52" ht="15" customHeight="1">
      <c r="A52" t="inlineStr">
        <is>
          <t>A 63535-2021</t>
        </is>
      </c>
      <c r="B52" t="inlineStr">
        <is>
          <t>avverkningsanmälan</t>
        </is>
      </c>
      <c r="C52" t="inlineStr">
        <is>
          <t>Föryngringsavverkning</t>
        </is>
      </c>
      <c r="D52" s="1" t="n">
        <v>44508</v>
      </c>
      <c r="E52" s="1" t="n">
        <v>46217</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s="2" t="inlineStr">
        <is>
          <t>Humlerotfjäril</t>
        </is>
      </c>
      <c r="V52">
        <f>HYPERLINK("https://klasma.github.io/Logging_1882/artfynd/A 63535-2021 artfynd.xlsx", "A 63535-2021")</f>
        <v/>
      </c>
      <c r="W52">
        <f>HYPERLINK("https://klasma.github.io/Logging_1882/kartor/A 63535-2021 karta.png", "A 63535-2021")</f>
        <v/>
      </c>
      <c r="Y52">
        <f>HYPERLINK("https://klasma.github.io/Logging_1882/klagomål/A 63535-2021 FSC-klagomål.docx", "A 63535-2021")</f>
        <v/>
      </c>
      <c r="Z52">
        <f>HYPERLINK("https://klasma.github.io/Logging_1882/klagomålsmail/A 63535-2021 FSC-klagomål mail.docx", "A 63535-2021")</f>
        <v/>
      </c>
      <c r="AA52">
        <f>HYPERLINK("https://klasma.github.io/Logging_1882/tillsyn/A 63535-2021 tillsynsbegäran.docx", "A 63535-2021")</f>
        <v/>
      </c>
      <c r="AB52">
        <f>HYPERLINK("https://klasma.github.io/Logging_1882/tillsynsmail/A 63535-2021 tillsynsbegäran mail.docx", "A 63535-2021")</f>
        <v/>
      </c>
    </row>
    <row r="53" ht="15" customHeight="1">
      <c r="A53" t="inlineStr">
        <is>
          <t>A 29127-2024</t>
        </is>
      </c>
      <c r="B53" t="inlineStr">
        <is>
          <t>avverkningsanmälan</t>
        </is>
      </c>
      <c r="C53" t="inlineStr">
        <is>
          <t>Föryngringsavverkning</t>
        </is>
      </c>
      <c r="D53" s="1" t="n">
        <v>45481</v>
      </c>
      <c r="E53" s="1" t="n">
        <v>46217</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s="2" t="inlineStr">
        <is>
          <t>Vanlig padda</t>
        </is>
      </c>
      <c r="V53">
        <f>HYPERLINK("https://klasma.github.io/Logging_1882/artfynd/A 29127-2024 artfynd.xlsx", "A 29127-2024")</f>
        <v/>
      </c>
      <c r="W53">
        <f>HYPERLINK("https://klasma.github.io/Logging_1882/kartor/A 29127-2024 karta.png", "A 29127-2024")</f>
        <v/>
      </c>
      <c r="Y53">
        <f>HYPERLINK("https://klasma.github.io/Logging_1882/klagomål/A 29127-2024 FSC-klagomål.docx", "A 29127-2024")</f>
        <v/>
      </c>
      <c r="Z53">
        <f>HYPERLINK("https://klasma.github.io/Logging_1882/klagomålsmail/A 29127-2024 FSC-klagomål mail.docx", "A 29127-2024")</f>
        <v/>
      </c>
      <c r="AA53">
        <f>HYPERLINK("https://klasma.github.io/Logging_1882/tillsyn/A 29127-2024 tillsynsbegäran.docx", "A 29127-2024")</f>
        <v/>
      </c>
      <c r="AB53">
        <f>HYPERLINK("https://klasma.github.io/Logging_1882/tillsynsmail/A 29127-2024 tillsynsbegäran mail.docx", "A 29127-2024")</f>
        <v/>
      </c>
    </row>
    <row r="54" ht="15" customHeight="1">
      <c r="A54" t="inlineStr">
        <is>
          <t>A 53019-2021</t>
        </is>
      </c>
      <c r="B54" t="inlineStr">
        <is>
          <t>avverkningsanmälan</t>
        </is>
      </c>
      <c r="C54" t="inlineStr">
        <is>
          <t>Avverkning för att bevara och utveckla /försöksver</t>
        </is>
      </c>
      <c r="D54" s="1" t="n">
        <v>44467</v>
      </c>
      <c r="E54" s="1" t="n">
        <v>46217</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s="2" t="inlineStr">
        <is>
          <t>Svart trolldruva</t>
        </is>
      </c>
      <c r="V54">
        <f>HYPERLINK("https://klasma.github.io/Logging_1882/artfynd/A 53019-2021 artfynd.xlsx", "A 53019-2021")</f>
        <v/>
      </c>
      <c r="W54">
        <f>HYPERLINK("https://klasma.github.io/Logging_1882/kartor/A 53019-2021 karta.png", "A 53019-2021")</f>
        <v/>
      </c>
      <c r="Y54">
        <f>HYPERLINK("https://klasma.github.io/Logging_1882/klagomål/A 53019-2021 FSC-klagomål.docx", "A 53019-2021")</f>
        <v/>
      </c>
      <c r="Z54">
        <f>HYPERLINK("https://klasma.github.io/Logging_1882/klagomålsmail/A 53019-2021 FSC-klagomål mail.docx", "A 53019-2021")</f>
        <v/>
      </c>
      <c r="AA54">
        <f>HYPERLINK("https://klasma.github.io/Logging_1882/tillsyn/A 53019-2021 tillsynsbegäran.docx", "A 53019-2021")</f>
        <v/>
      </c>
      <c r="AB54">
        <f>HYPERLINK("https://klasma.github.io/Logging_1882/tillsynsmail/A 53019-2021 tillsynsbegäran mail.docx", "A 53019-2021")</f>
        <v/>
      </c>
    </row>
    <row r="55" ht="15" customHeight="1">
      <c r="A55" t="inlineStr">
        <is>
          <t>A 44891-2024</t>
        </is>
      </c>
      <c r="B55" t="inlineStr">
        <is>
          <t>avverkningsanmälan</t>
        </is>
      </c>
      <c r="C55" t="inlineStr">
        <is>
          <t>Avverkning för att bevara och utveckla /försöksver</t>
        </is>
      </c>
      <c r="D55" s="1" t="n">
        <v>45575</v>
      </c>
      <c r="E55" s="1" t="n">
        <v>46217</v>
      </c>
      <c r="F55" t="inlineStr">
        <is>
          <t>ÖREBRO LÄN</t>
        </is>
      </c>
      <c r="G55" t="inlineStr">
        <is>
          <t>ASKERSUND</t>
        </is>
      </c>
      <c r="H55" t="inlineStr">
        <is>
          <t>Sveaskog</t>
        </is>
      </c>
      <c r="I55" t="n">
        <v>1.4</v>
      </c>
      <c r="J55" t="n">
        <v>1</v>
      </c>
      <c r="K55" t="n">
        <v>0</v>
      </c>
      <c r="L55" t="n">
        <v>0</v>
      </c>
      <c r="M55" t="n">
        <v>0</v>
      </c>
      <c r="N55" t="n">
        <v>0</v>
      </c>
      <c r="O55" t="n">
        <v>0</v>
      </c>
      <c r="P55" t="n">
        <v>0</v>
      </c>
      <c r="Q55" t="n">
        <v>0</v>
      </c>
      <c r="R55" t="n">
        <v>0</v>
      </c>
      <c r="S55" t="n">
        <v>1</v>
      </c>
      <c r="T55" t="n">
        <v>1</v>
      </c>
      <c r="U55" s="2" t="inlineStr">
        <is>
          <t>Grönvit nattviol</t>
        </is>
      </c>
      <c r="V55">
        <f>HYPERLINK("https://klasma.github.io/Logging_1882/artfynd/A 44891-2024 artfynd.xlsx", "A 44891-2024")</f>
        <v/>
      </c>
      <c r="W55">
        <f>HYPERLINK("https://klasma.github.io/Logging_1882/kartor/A 44891-2024 karta.png", "A 44891-2024")</f>
        <v/>
      </c>
      <c r="Y55">
        <f>HYPERLINK("https://klasma.github.io/Logging_1882/klagomål/A 44891-2024 FSC-klagomål.docx", "A 44891-2024")</f>
        <v/>
      </c>
      <c r="Z55">
        <f>HYPERLINK("https://klasma.github.io/Logging_1882/klagomålsmail/A 44891-2024 FSC-klagomål mail.docx", "A 44891-2024")</f>
        <v/>
      </c>
      <c r="AA55">
        <f>HYPERLINK("https://klasma.github.io/Logging_1882/tillsyn/A 44891-2024 tillsynsbegäran.docx", "A 44891-2024")</f>
        <v/>
      </c>
      <c r="AB55">
        <f>HYPERLINK("https://klasma.github.io/Logging_1882/tillsynsmail/A 44891-2024 tillsynsbegäran mail.docx", "A 44891-2024")</f>
        <v/>
      </c>
    </row>
    <row r="56" ht="15" customHeight="1">
      <c r="A56" t="inlineStr">
        <is>
          <t>A 31265-2024</t>
        </is>
      </c>
      <c r="B56" t="inlineStr">
        <is>
          <t>avverkningsanmälan</t>
        </is>
      </c>
      <c r="C56" t="inlineStr">
        <is>
          <t>Föryngringsavverkning</t>
        </is>
      </c>
      <c r="D56" s="1" t="n">
        <v>45503</v>
      </c>
      <c r="E56" s="1" t="n">
        <v>46217</v>
      </c>
      <c r="F56" t="inlineStr">
        <is>
          <t>ÖREBRO LÄN</t>
        </is>
      </c>
      <c r="G56" t="inlineStr">
        <is>
          <t>ASKERSUND</t>
        </is>
      </c>
      <c r="I56" t="n">
        <v>15.5</v>
      </c>
      <c r="J56" t="n">
        <v>1</v>
      </c>
      <c r="K56" t="n">
        <v>0</v>
      </c>
      <c r="L56" t="n">
        <v>0</v>
      </c>
      <c r="M56" t="n">
        <v>0</v>
      </c>
      <c r="N56" t="n">
        <v>0</v>
      </c>
      <c r="O56" t="n">
        <v>0</v>
      </c>
      <c r="P56" t="n">
        <v>0</v>
      </c>
      <c r="Q56" t="n">
        <v>0</v>
      </c>
      <c r="R56" t="n">
        <v>0</v>
      </c>
      <c r="S56" t="n">
        <v>1</v>
      </c>
      <c r="T56" t="n">
        <v>1</v>
      </c>
      <c r="U56" s="2" t="inlineStr">
        <is>
          <t>Törnskata</t>
        </is>
      </c>
      <c r="V56">
        <f>HYPERLINK("https://klasma.github.io/Logging_1882/artfynd/A 31265-2024 artfynd.xlsx", "A 31265-2024")</f>
        <v/>
      </c>
      <c r="W56">
        <f>HYPERLINK("https://klasma.github.io/Logging_1882/kartor/A 31265-2024 karta.png", "A 31265-2024")</f>
        <v/>
      </c>
      <c r="Y56">
        <f>HYPERLINK("https://klasma.github.io/Logging_1882/klagomål/A 31265-2024 FSC-klagomål.docx", "A 31265-2024")</f>
        <v/>
      </c>
      <c r="Z56">
        <f>HYPERLINK("https://klasma.github.io/Logging_1882/klagomålsmail/A 31265-2024 FSC-klagomål mail.docx", "A 31265-2024")</f>
        <v/>
      </c>
      <c r="AA56">
        <f>HYPERLINK("https://klasma.github.io/Logging_1882/tillsyn/A 31265-2024 tillsynsbegäran.docx", "A 31265-2024")</f>
        <v/>
      </c>
      <c r="AB56">
        <f>HYPERLINK("https://klasma.github.io/Logging_1882/tillsynsmail/A 31265-2024 tillsynsbegäran mail.docx", "A 31265-2024")</f>
        <v/>
      </c>
      <c r="AC56">
        <f>HYPERLINK("https://klasma.github.io/Logging_1882/fåglar/A 31265-2024 prioriterade fågelarter.docx", "A 31265-2024")</f>
        <v/>
      </c>
    </row>
    <row r="57" ht="15" customHeight="1">
      <c r="A57" t="inlineStr">
        <is>
          <t>A 52518-2022</t>
        </is>
      </c>
      <c r="B57" t="inlineStr">
        <is>
          <t>avverkningsanmälan</t>
        </is>
      </c>
      <c r="C57" t="inlineStr">
        <is>
          <t>Föryngringsavverkning</t>
        </is>
      </c>
      <c r="D57" s="1" t="n">
        <v>44874</v>
      </c>
      <c r="E57" s="1" t="n">
        <v>46217</v>
      </c>
      <c r="F57" t="inlineStr">
        <is>
          <t>ÖREBRO LÄN</t>
        </is>
      </c>
      <c r="G57" t="inlineStr">
        <is>
          <t>ASKERSUND</t>
        </is>
      </c>
      <c r="I57" t="n">
        <v>2.6</v>
      </c>
      <c r="J57" t="n">
        <v>0</v>
      </c>
      <c r="K57" t="n">
        <v>1</v>
      </c>
      <c r="L57" t="n">
        <v>0</v>
      </c>
      <c r="M57" t="n">
        <v>0</v>
      </c>
      <c r="N57" t="n">
        <v>0</v>
      </c>
      <c r="O57" t="n">
        <v>0</v>
      </c>
      <c r="P57" t="n">
        <v>0</v>
      </c>
      <c r="Q57" t="n">
        <v>0</v>
      </c>
      <c r="R57" t="n">
        <v>0</v>
      </c>
      <c r="S57" t="n">
        <v>1</v>
      </c>
      <c r="T57" t="n">
        <v>1</v>
      </c>
      <c r="U57" s="2" t="inlineStr">
        <is>
          <t>Björksplintborre</t>
        </is>
      </c>
      <c r="V57">
        <f>HYPERLINK("https://klasma.github.io/Logging_1882/artfynd/A 52518-2022 artfynd.xlsx", "A 52518-2022")</f>
        <v/>
      </c>
      <c r="W57">
        <f>HYPERLINK("https://klasma.github.io/Logging_1882/kartor/A 52518-2022 karta.png", "A 52518-2022")</f>
        <v/>
      </c>
      <c r="Y57">
        <f>HYPERLINK("https://klasma.github.io/Logging_1882/klagomål/A 52518-2022 FSC-klagomål.docx", "A 52518-2022")</f>
        <v/>
      </c>
      <c r="Z57">
        <f>HYPERLINK("https://klasma.github.io/Logging_1882/klagomålsmail/A 52518-2022 FSC-klagomål mail.docx", "A 52518-2022")</f>
        <v/>
      </c>
      <c r="AA57">
        <f>HYPERLINK("https://klasma.github.io/Logging_1882/tillsyn/A 52518-2022 tillsynsbegäran.docx", "A 52518-2022")</f>
        <v/>
      </c>
      <c r="AB57">
        <f>HYPERLINK("https://klasma.github.io/Logging_1882/tillsynsmail/A 52518-2022 tillsynsbegäran mail.docx", "A 52518-2022")</f>
        <v/>
      </c>
    </row>
    <row r="58" ht="15" customHeight="1">
      <c r="A58" t="inlineStr">
        <is>
          <t>A 48884-2022</t>
        </is>
      </c>
      <c r="B58" t="inlineStr">
        <is>
          <t>avverkningsanmälan</t>
        </is>
      </c>
      <c r="C58" t="inlineStr">
        <is>
          <t>Föryngringsavverkning</t>
        </is>
      </c>
      <c r="D58" s="1" t="n">
        <v>44859</v>
      </c>
      <c r="E58" s="1" t="n">
        <v>46217</v>
      </c>
      <c r="F58" t="inlineStr">
        <is>
          <t>ÖREBRO LÄN</t>
        </is>
      </c>
      <c r="G58" t="inlineStr">
        <is>
          <t>ASKERSUND</t>
        </is>
      </c>
      <c r="I58" t="n">
        <v>1.4</v>
      </c>
      <c r="J58" t="n">
        <v>0</v>
      </c>
      <c r="K58" t="n">
        <v>0</v>
      </c>
      <c r="L58" t="n">
        <v>1</v>
      </c>
      <c r="M58" t="n">
        <v>0</v>
      </c>
      <c r="N58" t="n">
        <v>0</v>
      </c>
      <c r="O58" t="n">
        <v>0</v>
      </c>
      <c r="P58" t="n">
        <v>0</v>
      </c>
      <c r="Q58" t="n">
        <v>1</v>
      </c>
      <c r="R58" t="n">
        <v>0</v>
      </c>
      <c r="S58" t="n">
        <v>1</v>
      </c>
      <c r="T58" t="n">
        <v>1</v>
      </c>
      <c r="U58" s="2" t="inlineStr">
        <is>
          <t>Jungfrulin</t>
        </is>
      </c>
      <c r="V58">
        <f>HYPERLINK("https://klasma.github.io/Logging_1882/artfynd/A 48884-2022 artfynd.xlsx", "A 48884-2022")</f>
        <v/>
      </c>
      <c r="W58">
        <f>HYPERLINK("https://klasma.github.io/Logging_1882/kartor/A 48884-2022 karta.png", "A 48884-2022")</f>
        <v/>
      </c>
      <c r="Y58">
        <f>HYPERLINK("https://klasma.github.io/Logging_1882/klagomål/A 48884-2022 FSC-klagomål.docx", "A 48884-2022")</f>
        <v/>
      </c>
      <c r="Z58">
        <f>HYPERLINK("https://klasma.github.io/Logging_1882/klagomålsmail/A 48884-2022 FSC-klagomål mail.docx", "A 48884-2022")</f>
        <v/>
      </c>
      <c r="AA58">
        <f>HYPERLINK("https://klasma.github.io/Logging_1882/tillsyn/A 48884-2022 tillsynsbegäran.docx", "A 48884-2022")</f>
        <v/>
      </c>
      <c r="AB58">
        <f>HYPERLINK("https://klasma.github.io/Logging_1882/tillsynsmail/A 48884-2022 tillsynsbegäran mail.docx", "A 48884-2022")</f>
        <v/>
      </c>
    </row>
    <row r="59" ht="15" customHeight="1">
      <c r="A59" t="inlineStr">
        <is>
          <t>A 5230-2023</t>
        </is>
      </c>
      <c r="B59" t="inlineStr">
        <is>
          <t>avverkningsanmälan</t>
        </is>
      </c>
      <c r="C59" t="inlineStr">
        <is>
          <t>Föryngringsavverkning</t>
        </is>
      </c>
      <c r="D59" s="1" t="n">
        <v>44959</v>
      </c>
      <c r="E59" s="1" t="n">
        <v>46217</v>
      </c>
      <c r="F59" t="inlineStr">
        <is>
          <t>ÖREBRO LÄN</t>
        </is>
      </c>
      <c r="G59" t="inlineStr">
        <is>
          <t>ASKERSUND</t>
        </is>
      </c>
      <c r="I59" t="n">
        <v>5.7</v>
      </c>
      <c r="J59" t="n">
        <v>0</v>
      </c>
      <c r="K59" t="n">
        <v>0</v>
      </c>
      <c r="L59" t="n">
        <v>0</v>
      </c>
      <c r="M59" t="n">
        <v>1</v>
      </c>
      <c r="N59" t="n">
        <v>0</v>
      </c>
      <c r="O59" t="n">
        <v>0</v>
      </c>
      <c r="P59" t="n">
        <v>0</v>
      </c>
      <c r="Q59" t="n">
        <v>1</v>
      </c>
      <c r="R59" t="n">
        <v>1</v>
      </c>
      <c r="S59" t="n">
        <v>1</v>
      </c>
      <c r="T59" t="n">
        <v>1</v>
      </c>
      <c r="U59" s="2" t="inlineStr">
        <is>
          <t>Igelkott</t>
        </is>
      </c>
      <c r="V59">
        <f>HYPERLINK("https://klasma.github.io/Logging_1882/artfynd/A 5230-2023 artfynd.xlsx", "A 5230-2023")</f>
        <v/>
      </c>
      <c r="W59">
        <f>HYPERLINK("https://klasma.github.io/Logging_1882/kartor/A 5230-2023 karta.png", "A 5230-2023")</f>
        <v/>
      </c>
      <c r="Y59">
        <f>HYPERLINK("https://klasma.github.io/Logging_1882/klagomål/A 5230-2023 FSC-klagomål.docx", "A 5230-2023")</f>
        <v/>
      </c>
      <c r="Z59">
        <f>HYPERLINK("https://klasma.github.io/Logging_1882/klagomålsmail/A 5230-2023 FSC-klagomål mail.docx", "A 5230-2023")</f>
        <v/>
      </c>
      <c r="AA59">
        <f>HYPERLINK("https://klasma.github.io/Logging_1882/tillsyn/A 5230-2023 tillsynsbegäran.docx", "A 5230-2023")</f>
        <v/>
      </c>
      <c r="AB59">
        <f>HYPERLINK("https://klasma.github.io/Logging_1882/tillsynsmail/A 5230-2023 tillsynsbegäran mail.docx", "A 5230-2023")</f>
        <v/>
      </c>
    </row>
    <row r="60" ht="15" customHeight="1">
      <c r="A60" t="inlineStr">
        <is>
          <t>A 16953-2022</t>
        </is>
      </c>
      <c r="B60" t="inlineStr">
        <is>
          <t>avverkningsanmälan</t>
        </is>
      </c>
      <c r="C60" t="inlineStr">
        <is>
          <t>Föryngringsavverkning</t>
        </is>
      </c>
      <c r="D60" s="1" t="n">
        <v>44676</v>
      </c>
      <c r="E60" s="1" t="n">
        <v>46217</v>
      </c>
      <c r="F60" t="inlineStr">
        <is>
          <t>ÖREBRO LÄN</t>
        </is>
      </c>
      <c r="G60" t="inlineStr">
        <is>
          <t>ASKERSUND</t>
        </is>
      </c>
      <c r="I60" t="n">
        <v>3.1</v>
      </c>
      <c r="J60" t="n">
        <v>1</v>
      </c>
      <c r="K60" t="n">
        <v>0</v>
      </c>
      <c r="L60" t="n">
        <v>1</v>
      </c>
      <c r="M60" t="n">
        <v>0</v>
      </c>
      <c r="N60" t="n">
        <v>0</v>
      </c>
      <c r="O60" t="n">
        <v>0</v>
      </c>
      <c r="P60" t="n">
        <v>0</v>
      </c>
      <c r="Q60" t="n">
        <v>1</v>
      </c>
      <c r="R60" t="n">
        <v>0</v>
      </c>
      <c r="S60" t="n">
        <v>1</v>
      </c>
      <c r="T60" t="n">
        <v>1</v>
      </c>
      <c r="U60" s="2" t="inlineStr">
        <is>
          <t>Talltita</t>
        </is>
      </c>
      <c r="V60">
        <f>HYPERLINK("https://klasma.github.io/Logging_1882/artfynd/A 16953-2022 artfynd.xlsx", "A 16953-2022")</f>
        <v/>
      </c>
      <c r="W60">
        <f>HYPERLINK("https://klasma.github.io/Logging_1882/kartor/A 16953-2022 karta.png", "A 16953-2022")</f>
        <v/>
      </c>
      <c r="Y60">
        <f>HYPERLINK("https://klasma.github.io/Logging_1882/klagomål/A 16953-2022 FSC-klagomål.docx", "A 16953-2022")</f>
        <v/>
      </c>
      <c r="Z60">
        <f>HYPERLINK("https://klasma.github.io/Logging_1882/klagomålsmail/A 16953-2022 FSC-klagomål mail.docx", "A 16953-2022")</f>
        <v/>
      </c>
      <c r="AA60">
        <f>HYPERLINK("https://klasma.github.io/Logging_1882/tillsyn/A 16953-2022 tillsynsbegäran.docx", "A 16953-2022")</f>
        <v/>
      </c>
      <c r="AB60">
        <f>HYPERLINK("https://klasma.github.io/Logging_1882/tillsynsmail/A 16953-2022 tillsynsbegäran mail.docx", "A 16953-2022")</f>
        <v/>
      </c>
      <c r="AC60">
        <f>HYPERLINK("https://klasma.github.io/Logging_1882/fåglar/A 16953-2022 prioriterade fågelarter.docx", "A 16953-2022")</f>
        <v/>
      </c>
    </row>
    <row r="61" ht="15" customHeight="1">
      <c r="A61" t="inlineStr">
        <is>
          <t>A 22511-2024</t>
        </is>
      </c>
      <c r="B61" t="inlineStr">
        <is>
          <t>avverkningsanmälan</t>
        </is>
      </c>
      <c r="C61" t="inlineStr">
        <is>
          <t>Föryngringsavverkning</t>
        </is>
      </c>
      <c r="D61" s="1" t="n">
        <v>45447</v>
      </c>
      <c r="E61" s="1" t="n">
        <v>46217</v>
      </c>
      <c r="F61" t="inlineStr">
        <is>
          <t>ÖREBRO LÄN</t>
        </is>
      </c>
      <c r="G61" t="inlineStr">
        <is>
          <t>ASKERSUND</t>
        </is>
      </c>
      <c r="I61" t="n">
        <v>1</v>
      </c>
      <c r="J61" t="n">
        <v>0</v>
      </c>
      <c r="K61" t="n">
        <v>0</v>
      </c>
      <c r="L61" t="n">
        <v>1</v>
      </c>
      <c r="M61" t="n">
        <v>0</v>
      </c>
      <c r="N61" t="n">
        <v>0</v>
      </c>
      <c r="O61" t="n">
        <v>0</v>
      </c>
      <c r="P61" t="n">
        <v>0</v>
      </c>
      <c r="Q61" t="n">
        <v>1</v>
      </c>
      <c r="R61" t="n">
        <v>0</v>
      </c>
      <c r="S61" t="n">
        <v>1</v>
      </c>
      <c r="T61" t="n">
        <v>1</v>
      </c>
      <c r="U61" s="2" t="inlineStr">
        <is>
          <t>Skogsklocka</t>
        </is>
      </c>
      <c r="V61">
        <f>HYPERLINK("https://klasma.github.io/Logging_1882/artfynd/A 22511-2024 artfynd.xlsx", "A 22511-2024")</f>
        <v/>
      </c>
      <c r="W61">
        <f>HYPERLINK("https://klasma.github.io/Logging_1882/kartor/A 22511-2024 karta.png", "A 22511-2024")</f>
        <v/>
      </c>
      <c r="Y61">
        <f>HYPERLINK("https://klasma.github.io/Logging_1882/klagomål/A 22511-2024 FSC-klagomål.docx", "A 22511-2024")</f>
        <v/>
      </c>
      <c r="Z61">
        <f>HYPERLINK("https://klasma.github.io/Logging_1882/klagomålsmail/A 22511-2024 FSC-klagomål mail.docx", "A 22511-2024")</f>
        <v/>
      </c>
      <c r="AA61">
        <f>HYPERLINK("https://klasma.github.io/Logging_1882/tillsyn/A 22511-2024 tillsynsbegäran.docx", "A 22511-2024")</f>
        <v/>
      </c>
      <c r="AB61">
        <f>HYPERLINK("https://klasma.github.io/Logging_1882/tillsynsmail/A 22511-2024 tillsynsbegäran mail.docx", "A 22511-2024")</f>
        <v/>
      </c>
    </row>
    <row r="62" ht="15" customHeight="1">
      <c r="A62" t="inlineStr">
        <is>
          <t>A 51319-2021</t>
        </is>
      </c>
      <c r="B62" t="inlineStr">
        <is>
          <t>avverkningsanmälan</t>
        </is>
      </c>
      <c r="C62" t="inlineStr">
        <is>
          <t>Föryngringsavverkning</t>
        </is>
      </c>
      <c r="D62" s="1" t="n">
        <v>44461</v>
      </c>
      <c r="E62" s="1" t="n">
        <v>46217</v>
      </c>
      <c r="F62" t="inlineStr">
        <is>
          <t>ÖREBRO LÄN</t>
        </is>
      </c>
      <c r="G62" t="inlineStr">
        <is>
          <t>ASKERSUND</t>
        </is>
      </c>
      <c r="H62" t="inlineStr">
        <is>
          <t>Sveaskog</t>
        </is>
      </c>
      <c r="I62" t="n">
        <v>2</v>
      </c>
      <c r="J62" t="n">
        <v>0</v>
      </c>
      <c r="K62" t="n">
        <v>0</v>
      </c>
      <c r="L62" t="n">
        <v>0</v>
      </c>
      <c r="M62" t="n">
        <v>1</v>
      </c>
      <c r="N62" t="n">
        <v>0</v>
      </c>
      <c r="O62" t="n">
        <v>0</v>
      </c>
      <c r="P62" t="n">
        <v>0</v>
      </c>
      <c r="Q62" t="n">
        <v>1</v>
      </c>
      <c r="R62" t="n">
        <v>1</v>
      </c>
      <c r="S62" t="n">
        <v>1</v>
      </c>
      <c r="T62" t="n">
        <v>1</v>
      </c>
      <c r="U62" s="2" t="inlineStr">
        <is>
          <t>Sexfläckig bastardsvärmare</t>
        </is>
      </c>
      <c r="V62">
        <f>HYPERLINK("https://klasma.github.io/Logging_1882/artfynd/A 51319-2021 artfynd.xlsx", "A 51319-2021")</f>
        <v/>
      </c>
      <c r="W62">
        <f>HYPERLINK("https://klasma.github.io/Logging_1882/kartor/A 51319-2021 karta.png", "A 51319-2021")</f>
        <v/>
      </c>
      <c r="Y62">
        <f>HYPERLINK("https://klasma.github.io/Logging_1882/klagomål/A 51319-2021 FSC-klagomål.docx", "A 51319-2021")</f>
        <v/>
      </c>
      <c r="Z62">
        <f>HYPERLINK("https://klasma.github.io/Logging_1882/klagomålsmail/A 51319-2021 FSC-klagomål mail.docx", "A 51319-2021")</f>
        <v/>
      </c>
      <c r="AA62">
        <f>HYPERLINK("https://klasma.github.io/Logging_1882/tillsyn/A 51319-2021 tillsynsbegäran.docx", "A 51319-2021")</f>
        <v/>
      </c>
      <c r="AB62">
        <f>HYPERLINK("https://klasma.github.io/Logging_1882/tillsynsmail/A 51319-2021 tillsynsbegäran mail.docx", "A 51319-2021")</f>
        <v/>
      </c>
    </row>
    <row r="63" ht="15" customHeight="1">
      <c r="A63" t="inlineStr">
        <is>
          <t>A 55832-2021</t>
        </is>
      </c>
      <c r="B63" t="inlineStr">
        <is>
          <t>avverkningsanmälan</t>
        </is>
      </c>
      <c r="C63" t="inlineStr">
        <is>
          <t>Avverkning för att bevara och utveckla /försöksver</t>
        </is>
      </c>
      <c r="D63" s="1" t="n">
        <v>44476</v>
      </c>
      <c r="E63" s="1" t="n">
        <v>46217</v>
      </c>
      <c r="F63" t="inlineStr">
        <is>
          <t>ÖREBRO LÄN</t>
        </is>
      </c>
      <c r="G63" t="inlineStr">
        <is>
          <t>ASKERSUND</t>
        </is>
      </c>
      <c r="H63" t="inlineStr">
        <is>
          <t>Sveaskog</t>
        </is>
      </c>
      <c r="I63" t="n">
        <v>3.2</v>
      </c>
      <c r="J63" t="n">
        <v>0</v>
      </c>
      <c r="K63" t="n">
        <v>0</v>
      </c>
      <c r="L63" t="n">
        <v>0</v>
      </c>
      <c r="M63" t="n">
        <v>1</v>
      </c>
      <c r="N63" t="n">
        <v>0</v>
      </c>
      <c r="O63" t="n">
        <v>0</v>
      </c>
      <c r="P63" t="n">
        <v>0</v>
      </c>
      <c r="Q63" t="n">
        <v>1</v>
      </c>
      <c r="R63" t="n">
        <v>1</v>
      </c>
      <c r="S63" t="n">
        <v>1</v>
      </c>
      <c r="T63" t="n">
        <v>1</v>
      </c>
      <c r="U63" s="2" t="inlineStr">
        <is>
          <t>Slåttergubbe</t>
        </is>
      </c>
      <c r="V63">
        <f>HYPERLINK("https://klasma.github.io/Logging_1882/artfynd/A 55832-2021 artfynd.xlsx", "A 55832-2021")</f>
        <v/>
      </c>
      <c r="W63">
        <f>HYPERLINK("https://klasma.github.io/Logging_1882/kartor/A 55832-2021 karta.png", "A 55832-2021")</f>
        <v/>
      </c>
      <c r="Y63">
        <f>HYPERLINK("https://klasma.github.io/Logging_1882/klagomål/A 55832-2021 FSC-klagomål.docx", "A 55832-2021")</f>
        <v/>
      </c>
      <c r="Z63">
        <f>HYPERLINK("https://klasma.github.io/Logging_1882/klagomålsmail/A 55832-2021 FSC-klagomål mail.docx", "A 55832-2021")</f>
        <v/>
      </c>
      <c r="AA63">
        <f>HYPERLINK("https://klasma.github.io/Logging_1882/tillsyn/A 55832-2021 tillsynsbegäran.docx", "A 55832-2021")</f>
        <v/>
      </c>
      <c r="AB63">
        <f>HYPERLINK("https://klasma.github.io/Logging_1882/tillsynsmail/A 55832-2021 tillsynsbegäran mail.docx", "A 55832-2021")</f>
        <v/>
      </c>
    </row>
    <row r="64" ht="15" customHeight="1">
      <c r="A64" t="inlineStr">
        <is>
          <t>A 57427-2024</t>
        </is>
      </c>
      <c r="B64" t="inlineStr">
        <is>
          <t>avverkningsanmälan</t>
        </is>
      </c>
      <c r="C64" t="inlineStr">
        <is>
          <t>Föryngringsavverkning</t>
        </is>
      </c>
      <c r="D64" s="1" t="n">
        <v>45629</v>
      </c>
      <c r="E64" s="1" t="n">
        <v>46217</v>
      </c>
      <c r="F64" t="inlineStr">
        <is>
          <t>ÖREBRO LÄN</t>
        </is>
      </c>
      <c r="G64" t="inlineStr">
        <is>
          <t>ASKERSUND</t>
        </is>
      </c>
      <c r="I64" t="n">
        <v>3.3</v>
      </c>
      <c r="J64" t="n">
        <v>1</v>
      </c>
      <c r="K64" t="n">
        <v>0</v>
      </c>
      <c r="L64" t="n">
        <v>0</v>
      </c>
      <c r="M64" t="n">
        <v>0</v>
      </c>
      <c r="N64" t="n">
        <v>0</v>
      </c>
      <c r="O64" t="n">
        <v>0</v>
      </c>
      <c r="P64" t="n">
        <v>0</v>
      </c>
      <c r="Q64" t="n">
        <v>0</v>
      </c>
      <c r="R64" t="n">
        <v>0</v>
      </c>
      <c r="S64" t="n">
        <v>1</v>
      </c>
      <c r="T64" t="n">
        <v>2</v>
      </c>
      <c r="U64" s="2" t="inlineStr">
        <is>
          <t>Fläcknycklar</t>
        </is>
      </c>
      <c r="V64">
        <f>HYPERLINK("https://klasma.github.io/Logging_1882/artfynd/A 57427-2024 artfynd.xlsx", "A 57427-2024")</f>
        <v/>
      </c>
      <c r="W64">
        <f>HYPERLINK("https://klasma.github.io/Logging_1882/kartor/A 57427-2024 karta.png", "A 57427-2024")</f>
        <v/>
      </c>
      <c r="Y64">
        <f>HYPERLINK("https://klasma.github.io/Logging_1882/klagomål/A 57427-2024 FSC-klagomål.docx", "A 57427-2024")</f>
        <v/>
      </c>
      <c r="Z64">
        <f>HYPERLINK("https://klasma.github.io/Logging_1882/klagomålsmail/A 57427-2024 FSC-klagomål mail.docx", "A 57427-2024")</f>
        <v/>
      </c>
      <c r="AA64">
        <f>HYPERLINK("https://klasma.github.io/Logging_1882/tillsyn/A 57427-2024 tillsynsbegäran.docx", "A 57427-2024")</f>
        <v/>
      </c>
      <c r="AB64">
        <f>HYPERLINK("https://klasma.github.io/Logging_1882/tillsynsmail/A 57427-2024 tillsynsbegäran mail.docx", "A 57427-2024")</f>
        <v/>
      </c>
    </row>
    <row r="65" ht="15" customHeight="1">
      <c r="A65" t="inlineStr">
        <is>
          <t>A 38601-2024</t>
        </is>
      </c>
      <c r="B65" t="inlineStr">
        <is>
          <t>avverkningsanmälan</t>
        </is>
      </c>
      <c r="C65" t="inlineStr">
        <is>
          <t>Föryngringsavverkning</t>
        </is>
      </c>
      <c r="D65" s="1" t="n">
        <v>45546</v>
      </c>
      <c r="E65" s="1" t="n">
        <v>46217</v>
      </c>
      <c r="F65" t="inlineStr">
        <is>
          <t>ÖREBRO LÄN</t>
        </is>
      </c>
      <c r="G65" t="inlineStr">
        <is>
          <t>ASKERSUND</t>
        </is>
      </c>
      <c r="H65" t="inlineStr">
        <is>
          <t>Sveaskog</t>
        </is>
      </c>
      <c r="I65" t="n">
        <v>1.5</v>
      </c>
      <c r="J65" t="n">
        <v>0</v>
      </c>
      <c r="K65" t="n">
        <v>0</v>
      </c>
      <c r="L65" t="n">
        <v>1</v>
      </c>
      <c r="M65" t="n">
        <v>0</v>
      </c>
      <c r="N65" t="n">
        <v>0</v>
      </c>
      <c r="O65" t="n">
        <v>0</v>
      </c>
      <c r="P65" t="n">
        <v>0</v>
      </c>
      <c r="Q65" t="n">
        <v>1</v>
      </c>
      <c r="R65" t="n">
        <v>0</v>
      </c>
      <c r="S65" t="n">
        <v>1</v>
      </c>
      <c r="T65" t="n">
        <v>1</v>
      </c>
      <c r="U65" s="2" t="inlineStr">
        <is>
          <t>Luddfingersvamp</t>
        </is>
      </c>
      <c r="V65">
        <f>HYPERLINK("https://klasma.github.io/Logging_1882/artfynd/A 38601-2024 artfynd.xlsx", "A 38601-2024")</f>
        <v/>
      </c>
      <c r="W65">
        <f>HYPERLINK("https://klasma.github.io/Logging_1882/kartor/A 38601-2024 karta.png", "A 38601-2024")</f>
        <v/>
      </c>
      <c r="Y65">
        <f>HYPERLINK("https://klasma.github.io/Logging_1882/klagomål/A 38601-2024 FSC-klagomål.docx", "A 38601-2024")</f>
        <v/>
      </c>
      <c r="Z65">
        <f>HYPERLINK("https://klasma.github.io/Logging_1882/klagomålsmail/A 38601-2024 FSC-klagomål mail.docx", "A 38601-2024")</f>
        <v/>
      </c>
      <c r="AA65">
        <f>HYPERLINK("https://klasma.github.io/Logging_1882/tillsyn/A 38601-2024 tillsynsbegäran.docx", "A 38601-2024")</f>
        <v/>
      </c>
      <c r="AB65">
        <f>HYPERLINK("https://klasma.github.io/Logging_1882/tillsynsmail/A 38601-2024 tillsynsbegäran mail.docx", "A 38601-2024")</f>
        <v/>
      </c>
    </row>
    <row r="66" ht="15" customHeight="1">
      <c r="A66" t="inlineStr">
        <is>
          <t>A 2561-2024</t>
        </is>
      </c>
      <c r="B66" t="inlineStr">
        <is>
          <t>avverkningsanmälan</t>
        </is>
      </c>
      <c r="C66" t="inlineStr">
        <is>
          <t>Föryngringsavverkning</t>
        </is>
      </c>
      <c r="D66" s="1" t="n">
        <v>45313</v>
      </c>
      <c r="E66" s="1" t="n">
        <v>46217</v>
      </c>
      <c r="F66" t="inlineStr">
        <is>
          <t>ÖREBRO LÄN</t>
        </is>
      </c>
      <c r="G66" t="inlineStr">
        <is>
          <t>ASKERSUND</t>
        </is>
      </c>
      <c r="I66" t="n">
        <v>5.4</v>
      </c>
      <c r="J66" t="n">
        <v>0</v>
      </c>
      <c r="K66" t="n">
        <v>0</v>
      </c>
      <c r="L66" t="n">
        <v>0</v>
      </c>
      <c r="M66" t="n">
        <v>1</v>
      </c>
      <c r="N66" t="n">
        <v>0</v>
      </c>
      <c r="O66" t="n">
        <v>0</v>
      </c>
      <c r="P66" t="n">
        <v>0</v>
      </c>
      <c r="Q66" t="n">
        <v>1</v>
      </c>
      <c r="R66" t="n">
        <v>1</v>
      </c>
      <c r="S66" t="n">
        <v>1</v>
      </c>
      <c r="T66" t="n">
        <v>1</v>
      </c>
      <c r="U66" s="2" t="inlineStr">
        <is>
          <t>Slåttergubbe</t>
        </is>
      </c>
      <c r="V66">
        <f>HYPERLINK("https://klasma.github.io/Logging_1882/artfynd/A 2561-2024 artfynd.xlsx", "A 2561-2024")</f>
        <v/>
      </c>
      <c r="W66">
        <f>HYPERLINK("https://klasma.github.io/Logging_1882/kartor/A 2561-2024 karta.png", "A 2561-2024")</f>
        <v/>
      </c>
      <c r="Y66">
        <f>HYPERLINK("https://klasma.github.io/Logging_1882/klagomål/A 2561-2024 FSC-klagomål.docx", "A 2561-2024")</f>
        <v/>
      </c>
      <c r="Z66">
        <f>HYPERLINK("https://klasma.github.io/Logging_1882/klagomålsmail/A 2561-2024 FSC-klagomål mail.docx", "A 2561-2024")</f>
        <v/>
      </c>
      <c r="AA66">
        <f>HYPERLINK("https://klasma.github.io/Logging_1882/tillsyn/A 2561-2024 tillsynsbegäran.docx", "A 2561-2024")</f>
        <v/>
      </c>
      <c r="AB66">
        <f>HYPERLINK("https://klasma.github.io/Logging_1882/tillsynsmail/A 2561-2024 tillsynsbegäran mail.docx", "A 2561-2024")</f>
        <v/>
      </c>
    </row>
    <row r="67" ht="15" customHeight="1">
      <c r="A67" t="inlineStr">
        <is>
          <t>A 34514-2024</t>
        </is>
      </c>
      <c r="B67" t="inlineStr">
        <is>
          <t>avverkningsanmälan</t>
        </is>
      </c>
      <c r="C67" t="inlineStr">
        <is>
          <t>Avverkning för att bevara och utveckla /försöksver</t>
        </is>
      </c>
      <c r="D67" s="1" t="n">
        <v>45525</v>
      </c>
      <c r="E67" s="1" t="n">
        <v>46217</v>
      </c>
      <c r="F67" t="inlineStr">
        <is>
          <t>ÖREBRO LÄN</t>
        </is>
      </c>
      <c r="G67" t="inlineStr">
        <is>
          <t>ASKERSUND</t>
        </is>
      </c>
      <c r="H67" t="inlineStr">
        <is>
          <t>Sveaskog</t>
        </is>
      </c>
      <c r="I67" t="n">
        <v>0.5</v>
      </c>
      <c r="J67" t="n">
        <v>1</v>
      </c>
      <c r="K67" t="n">
        <v>0</v>
      </c>
      <c r="L67" t="n">
        <v>0</v>
      </c>
      <c r="M67" t="n">
        <v>0</v>
      </c>
      <c r="N67" t="n">
        <v>0</v>
      </c>
      <c r="O67" t="n">
        <v>0</v>
      </c>
      <c r="P67" t="n">
        <v>0</v>
      </c>
      <c r="Q67" t="n">
        <v>0</v>
      </c>
      <c r="R67" t="n">
        <v>0</v>
      </c>
      <c r="S67" t="n">
        <v>1</v>
      </c>
      <c r="T67" t="n">
        <v>1</v>
      </c>
      <c r="U67" s="2" t="inlineStr">
        <is>
          <t>Gröngöling</t>
        </is>
      </c>
      <c r="V67">
        <f>HYPERLINK("https://klasma.github.io/Logging_1882/artfynd/A 34514-2024 artfynd.xlsx", "A 34514-2024")</f>
        <v/>
      </c>
      <c r="W67">
        <f>HYPERLINK("https://klasma.github.io/Logging_1882/kartor/A 34514-2024 karta.png", "A 34514-2024")</f>
        <v/>
      </c>
      <c r="Y67">
        <f>HYPERLINK("https://klasma.github.io/Logging_1882/klagomål/A 34514-2024 FSC-klagomål.docx", "A 34514-2024")</f>
        <v/>
      </c>
      <c r="Z67">
        <f>HYPERLINK("https://klasma.github.io/Logging_1882/klagomålsmail/A 34514-2024 FSC-klagomål mail.docx", "A 34514-2024")</f>
        <v/>
      </c>
      <c r="AA67">
        <f>HYPERLINK("https://klasma.github.io/Logging_1882/tillsyn/A 34514-2024 tillsynsbegäran.docx", "A 34514-2024")</f>
        <v/>
      </c>
      <c r="AB67">
        <f>HYPERLINK("https://klasma.github.io/Logging_1882/tillsynsmail/A 34514-2024 tillsynsbegäran mail.docx", "A 34514-2024")</f>
        <v/>
      </c>
    </row>
    <row r="68" ht="15" customHeight="1">
      <c r="A68" t="inlineStr">
        <is>
          <t>A 5044-2022</t>
        </is>
      </c>
      <c r="B68" t="inlineStr">
        <is>
          <t>avverkningsanmälan</t>
        </is>
      </c>
      <c r="C68" t="inlineStr">
        <is>
          <t>Föryngringsavverkning</t>
        </is>
      </c>
      <c r="D68" s="1" t="n">
        <v>44593</v>
      </c>
      <c r="E68" s="1" t="n">
        <v>46217</v>
      </c>
      <c r="F68" t="inlineStr">
        <is>
          <t>ÖREBRO LÄN</t>
        </is>
      </c>
      <c r="G68" t="inlineStr">
        <is>
          <t>ASKERSUND</t>
        </is>
      </c>
      <c r="H68" t="inlineStr">
        <is>
          <t>Allmännings- och besparingsskogar</t>
        </is>
      </c>
      <c r="I68" t="n">
        <v>4</v>
      </c>
      <c r="J68" t="n">
        <v>0</v>
      </c>
      <c r="K68" t="n">
        <v>0</v>
      </c>
      <c r="L68" t="n">
        <v>1</v>
      </c>
      <c r="M68" t="n">
        <v>0</v>
      </c>
      <c r="N68" t="n">
        <v>0</v>
      </c>
      <c r="O68" t="n">
        <v>0</v>
      </c>
      <c r="P68" t="n">
        <v>0</v>
      </c>
      <c r="Q68" t="n">
        <v>1</v>
      </c>
      <c r="R68" t="n">
        <v>0</v>
      </c>
      <c r="S68" t="n">
        <v>1</v>
      </c>
      <c r="T68" t="n">
        <v>1</v>
      </c>
      <c r="U68" s="2" t="inlineStr">
        <is>
          <t>Jungfrulin</t>
        </is>
      </c>
      <c r="V68">
        <f>HYPERLINK("https://klasma.github.io/Logging_1882/artfynd/A 5044-2022 artfynd.xlsx", "A 5044-2022")</f>
        <v/>
      </c>
      <c r="W68">
        <f>HYPERLINK("https://klasma.github.io/Logging_1882/kartor/A 5044-2022 karta.png", "A 5044-2022")</f>
        <v/>
      </c>
      <c r="Y68">
        <f>HYPERLINK("https://klasma.github.io/Logging_1882/klagomål/A 5044-2022 FSC-klagomål.docx", "A 5044-2022")</f>
        <v/>
      </c>
      <c r="Z68">
        <f>HYPERLINK("https://klasma.github.io/Logging_1882/klagomålsmail/A 5044-2022 FSC-klagomål mail.docx", "A 5044-2022")</f>
        <v/>
      </c>
      <c r="AA68">
        <f>HYPERLINK("https://klasma.github.io/Logging_1882/tillsyn/A 5044-2022 tillsynsbegäran.docx", "A 5044-2022")</f>
        <v/>
      </c>
      <c r="AB68">
        <f>HYPERLINK("https://klasma.github.io/Logging_1882/tillsynsmail/A 5044-2022 tillsynsbegäran mail.docx", "A 5044-2022")</f>
        <v/>
      </c>
    </row>
    <row r="69" ht="15" customHeight="1">
      <c r="A69" t="inlineStr">
        <is>
          <t>A 1121-2026</t>
        </is>
      </c>
      <c r="B69" t="inlineStr">
        <is>
          <t>avverkningsanmälan</t>
        </is>
      </c>
      <c r="C69" t="inlineStr">
        <is>
          <t>Föryngringsavverkning</t>
        </is>
      </c>
      <c r="D69" s="1" t="n">
        <v>46030</v>
      </c>
      <c r="E69" s="1" t="n">
        <v>46217</v>
      </c>
      <c r="F69" t="inlineStr">
        <is>
          <t>ÖREBRO LÄN</t>
        </is>
      </c>
      <c r="G69" t="inlineStr">
        <is>
          <t>ASKERSUND</t>
        </is>
      </c>
      <c r="I69" t="n">
        <v>8.4</v>
      </c>
      <c r="J69" t="n">
        <v>0</v>
      </c>
      <c r="K69" t="n">
        <v>0</v>
      </c>
      <c r="L69" t="n">
        <v>1</v>
      </c>
      <c r="M69" t="n">
        <v>0</v>
      </c>
      <c r="N69" t="n">
        <v>0</v>
      </c>
      <c r="O69" t="n">
        <v>0</v>
      </c>
      <c r="P69" t="n">
        <v>0</v>
      </c>
      <c r="Q69" t="n">
        <v>1</v>
      </c>
      <c r="R69" t="n">
        <v>0</v>
      </c>
      <c r="S69" t="n">
        <v>1</v>
      </c>
      <c r="T69" t="n">
        <v>1</v>
      </c>
      <c r="U69" s="2" t="inlineStr">
        <is>
          <t>Svinrot</t>
        </is>
      </c>
      <c r="V69">
        <f>HYPERLINK("https://klasma.github.io/Logging_1882/artfynd/A 1121-2026 artfynd.xlsx", "A 1121-2026")</f>
        <v/>
      </c>
      <c r="W69">
        <f>HYPERLINK("https://klasma.github.io/Logging_1882/kartor/A 1121-2026 karta.png", "A 1121-2026")</f>
        <v/>
      </c>
      <c r="Y69">
        <f>HYPERLINK("https://klasma.github.io/Logging_1882/klagomål/A 1121-2026 FSC-klagomål.docx", "A 1121-2026")</f>
        <v/>
      </c>
      <c r="Z69">
        <f>HYPERLINK("https://klasma.github.io/Logging_1882/klagomålsmail/A 1121-2026 FSC-klagomål mail.docx", "A 1121-2026")</f>
        <v/>
      </c>
      <c r="AA69">
        <f>HYPERLINK("https://klasma.github.io/Logging_1882/tillsyn/A 1121-2026 tillsynsbegäran.docx", "A 1121-2026")</f>
        <v/>
      </c>
      <c r="AB69">
        <f>HYPERLINK("https://klasma.github.io/Logging_1882/tillsynsmail/A 1121-2026 tillsynsbegäran mail.docx", "A 1121-2026")</f>
        <v/>
      </c>
    </row>
    <row r="70" ht="15" customHeight="1">
      <c r="A70" t="inlineStr">
        <is>
          <t>A 44888-2024</t>
        </is>
      </c>
      <c r="B70" t="inlineStr">
        <is>
          <t>avverkningsanmälan</t>
        </is>
      </c>
      <c r="C70" t="inlineStr">
        <is>
          <t>Avverkning för att bevara och utveckla /försöksver</t>
        </is>
      </c>
      <c r="D70" s="1" t="n">
        <v>45575</v>
      </c>
      <c r="E70" s="1" t="n">
        <v>46217</v>
      </c>
      <c r="F70" t="inlineStr">
        <is>
          <t>ÖREBRO LÄN</t>
        </is>
      </c>
      <c r="G70" t="inlineStr">
        <is>
          <t>ASKERSUND</t>
        </is>
      </c>
      <c r="H70" t="inlineStr">
        <is>
          <t>Sveaskog</t>
        </is>
      </c>
      <c r="I70" t="n">
        <v>2.4</v>
      </c>
      <c r="J70" t="n">
        <v>1</v>
      </c>
      <c r="K70" t="n">
        <v>0</v>
      </c>
      <c r="L70" t="n">
        <v>0</v>
      </c>
      <c r="M70" t="n">
        <v>0</v>
      </c>
      <c r="N70" t="n">
        <v>0</v>
      </c>
      <c r="O70" t="n">
        <v>0</v>
      </c>
      <c r="P70" t="n">
        <v>0</v>
      </c>
      <c r="Q70" t="n">
        <v>0</v>
      </c>
      <c r="R70" t="n">
        <v>0</v>
      </c>
      <c r="S70" t="n">
        <v>1</v>
      </c>
      <c r="T70" t="n">
        <v>1</v>
      </c>
      <c r="U70" s="2" t="inlineStr">
        <is>
          <t>Grönvit nattviol</t>
        </is>
      </c>
      <c r="V70">
        <f>HYPERLINK("https://klasma.github.io/Logging_1882/artfynd/A 44888-2024 artfynd.xlsx", "A 44888-2024")</f>
        <v/>
      </c>
      <c r="W70">
        <f>HYPERLINK("https://klasma.github.io/Logging_1882/kartor/A 44888-2024 karta.png", "A 44888-2024")</f>
        <v/>
      </c>
      <c r="Y70">
        <f>HYPERLINK("https://klasma.github.io/Logging_1882/klagomål/A 44888-2024 FSC-klagomål.docx", "A 44888-2024")</f>
        <v/>
      </c>
      <c r="Z70">
        <f>HYPERLINK("https://klasma.github.io/Logging_1882/klagomålsmail/A 44888-2024 FSC-klagomål mail.docx", "A 44888-2024")</f>
        <v/>
      </c>
      <c r="AA70">
        <f>HYPERLINK("https://klasma.github.io/Logging_1882/tillsyn/A 44888-2024 tillsynsbegäran.docx", "A 44888-2024")</f>
        <v/>
      </c>
      <c r="AB70">
        <f>HYPERLINK("https://klasma.github.io/Logging_1882/tillsynsmail/A 44888-2024 tillsynsbegäran mail.docx", "A 44888-2024")</f>
        <v/>
      </c>
    </row>
    <row r="71" ht="15" customHeight="1">
      <c r="A71" t="inlineStr">
        <is>
          <t>A 48879-2022</t>
        </is>
      </c>
      <c r="B71" t="inlineStr">
        <is>
          <t>avverkningsanmälan</t>
        </is>
      </c>
      <c r="C71" t="inlineStr">
        <is>
          <t>Föryngringsavverkning</t>
        </is>
      </c>
      <c r="D71" s="1" t="n">
        <v>44859</v>
      </c>
      <c r="E71" s="1" t="n">
        <v>46217</v>
      </c>
      <c r="F71" t="inlineStr">
        <is>
          <t>ÖREBRO LÄN</t>
        </is>
      </c>
      <c r="G71" t="inlineStr">
        <is>
          <t>ASKERSUND</t>
        </is>
      </c>
      <c r="I71" t="n">
        <v>8.199999999999999</v>
      </c>
      <c r="J71" t="n">
        <v>0</v>
      </c>
      <c r="K71" t="n">
        <v>0</v>
      </c>
      <c r="L71" t="n">
        <v>0</v>
      </c>
      <c r="M71" t="n">
        <v>0</v>
      </c>
      <c r="N71" t="n">
        <v>0</v>
      </c>
      <c r="O71" t="n">
        <v>0</v>
      </c>
      <c r="P71" t="n">
        <v>0</v>
      </c>
      <c r="Q71" t="n">
        <v>0</v>
      </c>
      <c r="R71" t="n">
        <v>0</v>
      </c>
      <c r="S71" t="n">
        <v>1</v>
      </c>
      <c r="T71" t="n">
        <v>1</v>
      </c>
      <c r="U71" s="2" t="inlineStr">
        <is>
          <t>Kattfot</t>
        </is>
      </c>
      <c r="V71">
        <f>HYPERLINK("https://klasma.github.io/Logging_1882/artfynd/A 48879-2022 artfynd.xlsx", "A 48879-2022")</f>
        <v/>
      </c>
      <c r="W71">
        <f>HYPERLINK("https://klasma.github.io/Logging_1882/kartor/A 48879-2022 karta.png", "A 48879-2022")</f>
        <v/>
      </c>
      <c r="Y71">
        <f>HYPERLINK("https://klasma.github.io/Logging_1882/klagomål/A 48879-2022 FSC-klagomål.docx", "A 48879-2022")</f>
        <v/>
      </c>
      <c r="Z71">
        <f>HYPERLINK("https://klasma.github.io/Logging_1882/klagomålsmail/A 48879-2022 FSC-klagomål mail.docx", "A 48879-2022")</f>
        <v/>
      </c>
      <c r="AA71">
        <f>HYPERLINK("https://klasma.github.io/Logging_1882/tillsyn/A 48879-2022 tillsynsbegäran.docx", "A 48879-2022")</f>
        <v/>
      </c>
      <c r="AB71">
        <f>HYPERLINK("https://klasma.github.io/Logging_1882/tillsynsmail/A 48879-2022 tillsynsbegäran mail.docx", "A 48879-2022")</f>
        <v/>
      </c>
    </row>
    <row r="72" ht="15" customHeight="1">
      <c r="A72" t="inlineStr">
        <is>
          <t>A 11988-2026</t>
        </is>
      </c>
      <c r="B72" t="inlineStr">
        <is>
          <t>avverkningsanmälan</t>
        </is>
      </c>
      <c r="C72" t="inlineStr">
        <is>
          <t>Avverkning för annat ändamål</t>
        </is>
      </c>
      <c r="D72" s="1" t="n">
        <v>46085</v>
      </c>
      <c r="E72" s="1" t="n">
        <v>46217</v>
      </c>
      <c r="F72" t="inlineStr">
        <is>
          <t>ÖREBRO LÄN</t>
        </is>
      </c>
      <c r="G72" t="inlineStr">
        <is>
          <t>ASKERSUND</t>
        </is>
      </c>
      <c r="I72" t="n">
        <v>1</v>
      </c>
      <c r="J72" t="n">
        <v>0</v>
      </c>
      <c r="K72" t="n">
        <v>1</v>
      </c>
      <c r="L72" t="n">
        <v>0</v>
      </c>
      <c r="M72" t="n">
        <v>0</v>
      </c>
      <c r="N72" t="n">
        <v>0</v>
      </c>
      <c r="O72" t="n">
        <v>0</v>
      </c>
      <c r="P72" t="n">
        <v>0</v>
      </c>
      <c r="Q72" t="n">
        <v>0</v>
      </c>
      <c r="R72" t="n">
        <v>0</v>
      </c>
      <c r="S72" t="n">
        <v>1</v>
      </c>
      <c r="T72" t="n">
        <v>1</v>
      </c>
      <c r="U72" s="2" t="inlineStr">
        <is>
          <t>Björksplintborre</t>
        </is>
      </c>
      <c r="V72">
        <f>HYPERLINK("https://klasma.github.io/Logging_1882/artfynd/A 11988-2026 artfynd.xlsx", "A 11988-2026")</f>
        <v/>
      </c>
      <c r="W72">
        <f>HYPERLINK("https://klasma.github.io/Logging_1882/kartor/A 11988-2026 karta.png", "A 11988-2026")</f>
        <v/>
      </c>
      <c r="Y72">
        <f>HYPERLINK("https://klasma.github.io/Logging_1882/klagomål/A 11988-2026 FSC-klagomål.docx", "A 11988-2026")</f>
        <v/>
      </c>
      <c r="Z72">
        <f>HYPERLINK("https://klasma.github.io/Logging_1882/klagomålsmail/A 11988-2026 FSC-klagomål mail.docx", "A 11988-2026")</f>
        <v/>
      </c>
      <c r="AA72">
        <f>HYPERLINK("https://klasma.github.io/Logging_1882/tillsyn/A 11988-2026 tillsynsbegäran.docx", "A 11988-2026")</f>
        <v/>
      </c>
      <c r="AB72">
        <f>HYPERLINK("https://klasma.github.io/Logging_1882/tillsynsmail/A 11988-2026 tillsynsbegäran mail.docx", "A 11988-2026")</f>
        <v/>
      </c>
    </row>
    <row r="73" ht="15" customHeight="1">
      <c r="A73" t="inlineStr">
        <is>
          <t>A 8366-2025</t>
        </is>
      </c>
      <c r="B73" t="inlineStr">
        <is>
          <t>avverkningsanmälan</t>
        </is>
      </c>
      <c r="C73" t="inlineStr">
        <is>
          <t>Föryngringsavverkning</t>
        </is>
      </c>
      <c r="D73" s="1" t="n">
        <v>45708</v>
      </c>
      <c r="E73" s="1" t="n">
        <v>46217</v>
      </c>
      <c r="F73" t="inlineStr">
        <is>
          <t>ÖREBRO LÄN</t>
        </is>
      </c>
      <c r="G73" t="inlineStr">
        <is>
          <t>ASKERSUND</t>
        </is>
      </c>
      <c r="I73" t="n">
        <v>4.7</v>
      </c>
      <c r="J73" t="n">
        <v>1</v>
      </c>
      <c r="K73" t="n">
        <v>0</v>
      </c>
      <c r="L73" t="n">
        <v>0</v>
      </c>
      <c r="M73" t="n">
        <v>0</v>
      </c>
      <c r="N73" t="n">
        <v>0</v>
      </c>
      <c r="O73" t="n">
        <v>0</v>
      </c>
      <c r="P73" t="n">
        <v>0</v>
      </c>
      <c r="Q73" t="n">
        <v>0</v>
      </c>
      <c r="R73" t="n">
        <v>0</v>
      </c>
      <c r="S73" t="n">
        <v>1</v>
      </c>
      <c r="T73" t="n">
        <v>1</v>
      </c>
      <c r="U73" s="2" t="inlineStr">
        <is>
          <t>Mattlummer</t>
        </is>
      </c>
      <c r="V73">
        <f>HYPERLINK("https://klasma.github.io/Logging_1882/artfynd/A 8366-2025 artfynd.xlsx", "A 8366-2025")</f>
        <v/>
      </c>
      <c r="W73">
        <f>HYPERLINK("https://klasma.github.io/Logging_1882/kartor/A 8366-2025 karta.png", "A 8366-2025")</f>
        <v/>
      </c>
      <c r="Y73">
        <f>HYPERLINK("https://klasma.github.io/Logging_1882/klagomål/A 8366-2025 FSC-klagomål.docx", "A 8366-2025")</f>
        <v/>
      </c>
      <c r="Z73">
        <f>HYPERLINK("https://klasma.github.io/Logging_1882/klagomålsmail/A 8366-2025 FSC-klagomål mail.docx", "A 8366-2025")</f>
        <v/>
      </c>
      <c r="AA73">
        <f>HYPERLINK("https://klasma.github.io/Logging_1882/tillsyn/A 8366-2025 tillsynsbegäran.docx", "A 8366-2025")</f>
        <v/>
      </c>
      <c r="AB73">
        <f>HYPERLINK("https://klasma.github.io/Logging_1882/tillsynsmail/A 8366-2025 tillsynsbegäran mail.docx", "A 8366-2025")</f>
        <v/>
      </c>
    </row>
    <row r="74" ht="15" customHeight="1">
      <c r="A74" t="inlineStr">
        <is>
          <t>A 18246-2026</t>
        </is>
      </c>
      <c r="B74" t="inlineStr">
        <is>
          <t>avverkningsanmälan</t>
        </is>
      </c>
      <c r="C74" t="inlineStr">
        <is>
          <t>Föryngringsavverkning</t>
        </is>
      </c>
      <c r="D74" s="1" t="n">
        <v>46126</v>
      </c>
      <c r="E74" s="1" t="n">
        <v>46217</v>
      </c>
      <c r="F74" t="inlineStr">
        <is>
          <t>ÖREBRO LÄN</t>
        </is>
      </c>
      <c r="G74" t="inlineStr">
        <is>
          <t>ASKERSUND</t>
        </is>
      </c>
      <c r="I74" t="n">
        <v>7.4</v>
      </c>
      <c r="J74" t="n">
        <v>0</v>
      </c>
      <c r="K74" t="n">
        <v>0</v>
      </c>
      <c r="L74" t="n">
        <v>0</v>
      </c>
      <c r="M74" t="n">
        <v>1</v>
      </c>
      <c r="N74" t="n">
        <v>0</v>
      </c>
      <c r="O74" t="n">
        <v>0</v>
      </c>
      <c r="P74" t="n">
        <v>0</v>
      </c>
      <c r="Q74" t="n">
        <v>1</v>
      </c>
      <c r="R74" t="n">
        <v>1</v>
      </c>
      <c r="S74" t="n">
        <v>1</v>
      </c>
      <c r="T74" t="n">
        <v>1</v>
      </c>
      <c r="U74" s="2" t="inlineStr">
        <is>
          <t>Mindre bastardsvärmare</t>
        </is>
      </c>
      <c r="V74">
        <f>HYPERLINK("https://klasma.github.io/Logging_1882/artfynd/A 18246-2026 artfynd.xlsx", "A 18246-2026")</f>
        <v/>
      </c>
      <c r="W74">
        <f>HYPERLINK("https://klasma.github.io/Logging_1882/kartor/A 18246-2026 karta.png", "A 18246-2026")</f>
        <v/>
      </c>
      <c r="Y74">
        <f>HYPERLINK("https://klasma.github.io/Logging_1882/klagomål/A 18246-2026 FSC-klagomål.docx", "A 18246-2026")</f>
        <v/>
      </c>
      <c r="Z74">
        <f>HYPERLINK("https://klasma.github.io/Logging_1882/klagomålsmail/A 18246-2026 FSC-klagomål mail.docx", "A 18246-2026")</f>
        <v/>
      </c>
      <c r="AA74">
        <f>HYPERLINK("https://klasma.github.io/Logging_1882/tillsyn/A 18246-2026 tillsynsbegäran.docx", "A 18246-2026")</f>
        <v/>
      </c>
      <c r="AB74">
        <f>HYPERLINK("https://klasma.github.io/Logging_1882/tillsynsmail/A 18246-2026 tillsynsbegäran mail.docx", "A 18246-2026")</f>
        <v/>
      </c>
    </row>
    <row r="75" ht="15" customHeight="1">
      <c r="A75" t="inlineStr">
        <is>
          <t>A 18259-2026</t>
        </is>
      </c>
      <c r="B75" t="inlineStr">
        <is>
          <t>avverkningsanmälan</t>
        </is>
      </c>
      <c r="C75" t="inlineStr">
        <is>
          <t>Föryngringsavverkning</t>
        </is>
      </c>
      <c r="D75" s="1" t="n">
        <v>46126</v>
      </c>
      <c r="E75" s="1" t="n">
        <v>46217</v>
      </c>
      <c r="F75" t="inlineStr">
        <is>
          <t>ÖREBRO LÄN</t>
        </is>
      </c>
      <c r="G75" t="inlineStr">
        <is>
          <t>ASKERSUND</t>
        </is>
      </c>
      <c r="I75" t="n">
        <v>4.1</v>
      </c>
      <c r="J75" t="n">
        <v>0</v>
      </c>
      <c r="K75" t="n">
        <v>0</v>
      </c>
      <c r="L75" t="n">
        <v>1</v>
      </c>
      <c r="M75" t="n">
        <v>0</v>
      </c>
      <c r="N75" t="n">
        <v>0</v>
      </c>
      <c r="O75" t="n">
        <v>0</v>
      </c>
      <c r="P75" t="n">
        <v>0</v>
      </c>
      <c r="Q75" t="n">
        <v>1</v>
      </c>
      <c r="R75" t="n">
        <v>0</v>
      </c>
      <c r="S75" t="n">
        <v>1</v>
      </c>
      <c r="T75" t="n">
        <v>1</v>
      </c>
      <c r="U75" s="2" t="inlineStr">
        <is>
          <t>Åkerväddsantennmal</t>
        </is>
      </c>
      <c r="V75">
        <f>HYPERLINK("https://klasma.github.io/Logging_1882/artfynd/A 18259-2026 artfynd.xlsx", "A 18259-2026")</f>
        <v/>
      </c>
      <c r="W75">
        <f>HYPERLINK("https://klasma.github.io/Logging_1882/kartor/A 18259-2026 karta.png", "A 18259-2026")</f>
        <v/>
      </c>
      <c r="Y75">
        <f>HYPERLINK("https://klasma.github.io/Logging_1882/klagomål/A 18259-2026 FSC-klagomål.docx", "A 18259-2026")</f>
        <v/>
      </c>
      <c r="Z75">
        <f>HYPERLINK("https://klasma.github.io/Logging_1882/klagomålsmail/A 18259-2026 FSC-klagomål mail.docx", "A 18259-2026")</f>
        <v/>
      </c>
      <c r="AA75">
        <f>HYPERLINK("https://klasma.github.io/Logging_1882/tillsyn/A 18259-2026 tillsynsbegäran.docx", "A 18259-2026")</f>
        <v/>
      </c>
      <c r="AB75">
        <f>HYPERLINK("https://klasma.github.io/Logging_1882/tillsynsmail/A 18259-2026 tillsynsbegäran mail.docx", "A 18259-2026")</f>
        <v/>
      </c>
    </row>
    <row r="76" ht="15" customHeight="1">
      <c r="A76" t="inlineStr">
        <is>
          <t>A 54723-2021</t>
        </is>
      </c>
      <c r="B76" t="inlineStr">
        <is>
          <t>avverkningsanmälan</t>
        </is>
      </c>
      <c r="C76" t="inlineStr">
        <is>
          <t>Föryngringsavverkning</t>
        </is>
      </c>
      <c r="D76" s="1" t="n">
        <v>44473</v>
      </c>
      <c r="E76" s="1" t="n">
        <v>46217</v>
      </c>
      <c r="F76" t="inlineStr">
        <is>
          <t>ÖREBRO LÄN</t>
        </is>
      </c>
      <c r="G76" t="inlineStr">
        <is>
          <t>ASKERSUND</t>
        </is>
      </c>
      <c r="I76" t="n">
        <v>3</v>
      </c>
      <c r="J76" t="n">
        <v>0</v>
      </c>
      <c r="K76" t="n">
        <v>0</v>
      </c>
      <c r="L76" t="n">
        <v>1</v>
      </c>
      <c r="M76" t="n">
        <v>0</v>
      </c>
      <c r="N76" t="n">
        <v>0</v>
      </c>
      <c r="O76" t="n">
        <v>0</v>
      </c>
      <c r="P76" t="n">
        <v>0</v>
      </c>
      <c r="Q76" t="n">
        <v>1</v>
      </c>
      <c r="R76" t="n">
        <v>0</v>
      </c>
      <c r="S76" t="n">
        <v>1</v>
      </c>
      <c r="T76" t="n">
        <v>1</v>
      </c>
      <c r="U76" s="2" t="inlineStr">
        <is>
          <t>Älg</t>
        </is>
      </c>
      <c r="V76">
        <f>HYPERLINK("https://klasma.github.io/Logging_1882/artfynd/A 54723-2021 artfynd.xlsx", "A 54723-2021")</f>
        <v/>
      </c>
      <c r="W76">
        <f>HYPERLINK("https://klasma.github.io/Logging_1882/kartor/A 54723-2021 karta.png", "A 54723-2021")</f>
        <v/>
      </c>
      <c r="Y76">
        <f>HYPERLINK("https://klasma.github.io/Logging_1882/klagomål/A 54723-2021 FSC-klagomål.docx", "A 54723-2021")</f>
        <v/>
      </c>
      <c r="Z76">
        <f>HYPERLINK("https://klasma.github.io/Logging_1882/klagomålsmail/A 54723-2021 FSC-klagomål mail.docx", "A 54723-2021")</f>
        <v/>
      </c>
      <c r="AA76">
        <f>HYPERLINK("https://klasma.github.io/Logging_1882/tillsyn/A 54723-2021 tillsynsbegäran.docx", "A 54723-2021")</f>
        <v/>
      </c>
      <c r="AB76">
        <f>HYPERLINK("https://klasma.github.io/Logging_1882/tillsynsmail/A 54723-2021 tillsynsbegäran mail.docx", "A 54723-2021")</f>
        <v/>
      </c>
    </row>
    <row r="77" ht="15" customHeight="1">
      <c r="A77" t="inlineStr">
        <is>
          <t>A 16677-2023</t>
        </is>
      </c>
      <c r="B77" t="inlineStr">
        <is>
          <t>avverkningsanmälan</t>
        </is>
      </c>
      <c r="C77" t="inlineStr">
        <is>
          <t>Föryngringsavverkning</t>
        </is>
      </c>
      <c r="D77" s="1" t="n">
        <v>45030</v>
      </c>
      <c r="E77" s="1" t="n">
        <v>46217</v>
      </c>
      <c r="F77" t="inlineStr">
        <is>
          <t>ÖREBRO LÄN</t>
        </is>
      </c>
      <c r="G77" t="inlineStr">
        <is>
          <t>ASKERSUND</t>
        </is>
      </c>
      <c r="I77" t="n">
        <v>0.9</v>
      </c>
      <c r="J77" t="n">
        <v>0</v>
      </c>
      <c r="K77" t="n">
        <v>1</v>
      </c>
      <c r="L77" t="n">
        <v>0</v>
      </c>
      <c r="M77" t="n">
        <v>0</v>
      </c>
      <c r="N77" t="n">
        <v>0</v>
      </c>
      <c r="O77" t="n">
        <v>0</v>
      </c>
      <c r="P77" t="n">
        <v>0</v>
      </c>
      <c r="Q77" t="n">
        <v>0</v>
      </c>
      <c r="R77" t="n">
        <v>0</v>
      </c>
      <c r="S77" t="n">
        <v>1</v>
      </c>
      <c r="T77" t="n">
        <v>1</v>
      </c>
      <c r="U77" s="2" t="inlineStr">
        <is>
          <t>Svart trolldruva</t>
        </is>
      </c>
      <c r="V77">
        <f>HYPERLINK("https://klasma.github.io/Logging_1882/artfynd/A 16677-2023 artfynd.xlsx", "A 16677-2023")</f>
        <v/>
      </c>
      <c r="W77">
        <f>HYPERLINK("https://klasma.github.io/Logging_1882/kartor/A 16677-2023 karta.png", "A 16677-2023")</f>
        <v/>
      </c>
      <c r="Y77">
        <f>HYPERLINK("https://klasma.github.io/Logging_1882/klagomål/A 16677-2023 FSC-klagomål.docx", "A 16677-2023")</f>
        <v/>
      </c>
      <c r="Z77">
        <f>HYPERLINK("https://klasma.github.io/Logging_1882/klagomålsmail/A 16677-2023 FSC-klagomål mail.docx", "A 16677-2023")</f>
        <v/>
      </c>
      <c r="AA77">
        <f>HYPERLINK("https://klasma.github.io/Logging_1882/tillsyn/A 16677-2023 tillsynsbegäran.docx", "A 16677-2023")</f>
        <v/>
      </c>
      <c r="AB77">
        <f>HYPERLINK("https://klasma.github.io/Logging_1882/tillsynsmail/A 16677-2023 tillsynsbegäran mail.docx", "A 16677-2023")</f>
        <v/>
      </c>
    </row>
    <row r="78" ht="15" customHeight="1">
      <c r="A78" t="inlineStr">
        <is>
          <t>A 2445-2025</t>
        </is>
      </c>
      <c r="B78" t="inlineStr">
        <is>
          <t>avverkningsanmälan</t>
        </is>
      </c>
      <c r="C78" t="inlineStr">
        <is>
          <t>Föryngringsavverkning</t>
        </is>
      </c>
      <c r="D78" s="1" t="n">
        <v>45674</v>
      </c>
      <c r="E78" s="1" t="n">
        <v>46217</v>
      </c>
      <c r="F78" t="inlineStr">
        <is>
          <t>ÖREBRO LÄN</t>
        </is>
      </c>
      <c r="G78" t="inlineStr">
        <is>
          <t>ASKERSUND</t>
        </is>
      </c>
      <c r="I78" t="n">
        <v>0.3</v>
      </c>
      <c r="J78" t="n">
        <v>0</v>
      </c>
      <c r="K78" t="n">
        <v>0</v>
      </c>
      <c r="L78" t="n">
        <v>1</v>
      </c>
      <c r="M78" t="n">
        <v>0</v>
      </c>
      <c r="N78" t="n">
        <v>0</v>
      </c>
      <c r="O78" t="n">
        <v>0</v>
      </c>
      <c r="P78" t="n">
        <v>0</v>
      </c>
      <c r="Q78" t="n">
        <v>1</v>
      </c>
      <c r="R78" t="n">
        <v>0</v>
      </c>
      <c r="S78" t="n">
        <v>1</v>
      </c>
      <c r="T78" t="n">
        <v>1</v>
      </c>
      <c r="U78" s="2" t="inlineStr">
        <is>
          <t>Åkerväddsantennmal</t>
        </is>
      </c>
      <c r="V78">
        <f>HYPERLINK("https://klasma.github.io/Logging_1882/artfynd/A 2445-2025 artfynd.xlsx", "A 2445-2025")</f>
        <v/>
      </c>
      <c r="W78">
        <f>HYPERLINK("https://klasma.github.io/Logging_1882/kartor/A 2445-2025 karta.png", "A 2445-2025")</f>
        <v/>
      </c>
      <c r="Y78">
        <f>HYPERLINK("https://klasma.github.io/Logging_1882/klagomål/A 2445-2025 FSC-klagomål.docx", "A 2445-2025")</f>
        <v/>
      </c>
      <c r="Z78">
        <f>HYPERLINK("https://klasma.github.io/Logging_1882/klagomålsmail/A 2445-2025 FSC-klagomål mail.docx", "A 2445-2025")</f>
        <v/>
      </c>
      <c r="AA78">
        <f>HYPERLINK("https://klasma.github.io/Logging_1882/tillsyn/A 2445-2025 tillsynsbegäran.docx", "A 2445-2025")</f>
        <v/>
      </c>
      <c r="AB78">
        <f>HYPERLINK("https://klasma.github.io/Logging_1882/tillsynsmail/A 2445-2025 tillsynsbegäran mail.docx", "A 2445-2025")</f>
        <v/>
      </c>
    </row>
    <row r="79" ht="15" customHeight="1">
      <c r="A79" t="inlineStr">
        <is>
          <t>A 56967-2023</t>
        </is>
      </c>
      <c r="B79" t="inlineStr">
        <is>
          <t>avverkningsanmälan</t>
        </is>
      </c>
      <c r="C79" t="inlineStr">
        <is>
          <t>Föryngringsavverkning</t>
        </is>
      </c>
      <c r="D79" s="1" t="n">
        <v>45244</v>
      </c>
      <c r="E79" s="1" t="n">
        <v>46217</v>
      </c>
      <c r="F79" t="inlineStr">
        <is>
          <t>ÖREBRO LÄN</t>
        </is>
      </c>
      <c r="G79" t="inlineStr">
        <is>
          <t>ASKERSUND</t>
        </is>
      </c>
      <c r="H79" t="inlineStr">
        <is>
          <t>Sveaskog</t>
        </is>
      </c>
      <c r="I79" t="n">
        <v>3.4</v>
      </c>
      <c r="J79" t="n">
        <v>0</v>
      </c>
      <c r="K79" t="n">
        <v>0</v>
      </c>
      <c r="L79" t="n">
        <v>1</v>
      </c>
      <c r="M79" t="n">
        <v>0</v>
      </c>
      <c r="N79" t="n">
        <v>0</v>
      </c>
      <c r="O79" t="n">
        <v>0</v>
      </c>
      <c r="P79" t="n">
        <v>0</v>
      </c>
      <c r="Q79" t="n">
        <v>1</v>
      </c>
      <c r="R79" t="n">
        <v>0</v>
      </c>
      <c r="S79" t="n">
        <v>1</v>
      </c>
      <c r="T79" t="n">
        <v>1</v>
      </c>
      <c r="U79" s="2" t="inlineStr">
        <is>
          <t>Skogstrappmossa</t>
        </is>
      </c>
      <c r="V79">
        <f>HYPERLINK("https://klasma.github.io/Logging_1882/artfynd/A 56967-2023 artfynd.xlsx", "A 56967-2023")</f>
        <v/>
      </c>
      <c r="W79">
        <f>HYPERLINK("https://klasma.github.io/Logging_1882/kartor/A 56967-2023 karta.png", "A 56967-2023")</f>
        <v/>
      </c>
      <c r="Y79">
        <f>HYPERLINK("https://klasma.github.io/Logging_1882/klagomål/A 56967-2023 FSC-klagomål.docx", "A 56967-2023")</f>
        <v/>
      </c>
      <c r="Z79">
        <f>HYPERLINK("https://klasma.github.io/Logging_1882/klagomålsmail/A 56967-2023 FSC-klagomål mail.docx", "A 56967-2023")</f>
        <v/>
      </c>
      <c r="AA79">
        <f>HYPERLINK("https://klasma.github.io/Logging_1882/tillsyn/A 56967-2023 tillsynsbegäran.docx", "A 56967-2023")</f>
        <v/>
      </c>
      <c r="AB79">
        <f>HYPERLINK("https://klasma.github.io/Logging_1882/tillsynsmail/A 56967-2023 tillsynsbegäran mail.docx", "A 56967-2023")</f>
        <v/>
      </c>
    </row>
    <row r="80" ht="15" customHeight="1">
      <c r="A80" t="inlineStr">
        <is>
          <t>A 32037-2024</t>
        </is>
      </c>
      <c r="B80" t="inlineStr">
        <is>
          <t>avverkningsanmälan</t>
        </is>
      </c>
      <c r="C80" t="inlineStr">
        <is>
          <t>Föryngringsavverkning</t>
        </is>
      </c>
      <c r="D80" s="1" t="n">
        <v>45510</v>
      </c>
      <c r="E80" s="1" t="n">
        <v>46217</v>
      </c>
      <c r="F80" t="inlineStr">
        <is>
          <t>ÖREBRO LÄN</t>
        </is>
      </c>
      <c r="G80" t="inlineStr">
        <is>
          <t>ASKERSUND</t>
        </is>
      </c>
      <c r="I80" t="n">
        <v>8.199999999999999</v>
      </c>
      <c r="J80" t="n">
        <v>0</v>
      </c>
      <c r="K80" t="n">
        <v>1</v>
      </c>
      <c r="L80" t="n">
        <v>0</v>
      </c>
      <c r="M80" t="n">
        <v>0</v>
      </c>
      <c r="N80" t="n">
        <v>0</v>
      </c>
      <c r="O80" t="n">
        <v>0</v>
      </c>
      <c r="P80" t="n">
        <v>0</v>
      </c>
      <c r="Q80" t="n">
        <v>0</v>
      </c>
      <c r="R80" t="n">
        <v>0</v>
      </c>
      <c r="S80" t="n">
        <v>1</v>
      </c>
      <c r="T80" t="n">
        <v>1</v>
      </c>
      <c r="U80" s="2" t="inlineStr">
        <is>
          <t>Svart trolldruva</t>
        </is>
      </c>
      <c r="V80">
        <f>HYPERLINK("https://klasma.github.io/Logging_1882/artfynd/A 32037-2024 artfynd.xlsx", "A 32037-2024")</f>
        <v/>
      </c>
      <c r="W80">
        <f>HYPERLINK("https://klasma.github.io/Logging_1882/kartor/A 32037-2024 karta.png", "A 32037-2024")</f>
        <v/>
      </c>
      <c r="Y80">
        <f>HYPERLINK("https://klasma.github.io/Logging_1882/klagomål/A 32037-2024 FSC-klagomål.docx", "A 32037-2024")</f>
        <v/>
      </c>
      <c r="Z80">
        <f>HYPERLINK("https://klasma.github.io/Logging_1882/klagomålsmail/A 32037-2024 FSC-klagomål mail.docx", "A 32037-2024")</f>
        <v/>
      </c>
      <c r="AA80">
        <f>HYPERLINK("https://klasma.github.io/Logging_1882/tillsyn/A 32037-2024 tillsynsbegäran.docx", "A 32037-2024")</f>
        <v/>
      </c>
      <c r="AB80">
        <f>HYPERLINK("https://klasma.github.io/Logging_1882/tillsynsmail/A 32037-2024 tillsynsbegäran mail.docx", "A 32037-2024")</f>
        <v/>
      </c>
    </row>
    <row r="81" ht="15" customHeight="1">
      <c r="A81" t="inlineStr">
        <is>
          <t>A 28786-2023</t>
        </is>
      </c>
      <c r="B81" t="inlineStr">
        <is>
          <t>avverkningsanmälan</t>
        </is>
      </c>
      <c r="C81" t="inlineStr">
        <is>
          <t>Avverkning för annat ändamål</t>
        </is>
      </c>
      <c r="D81" s="1" t="n">
        <v>45104</v>
      </c>
      <c r="E81" s="1" t="n">
        <v>46217</v>
      </c>
      <c r="F81" t="inlineStr">
        <is>
          <t>ÖREBRO LÄN</t>
        </is>
      </c>
      <c r="G81" t="inlineStr">
        <is>
          <t>ASKERSUND</t>
        </is>
      </c>
      <c r="I81" t="n">
        <v>9.800000000000001</v>
      </c>
      <c r="J81" t="n">
        <v>0</v>
      </c>
      <c r="K81" t="n">
        <v>1</v>
      </c>
      <c r="L81" t="n">
        <v>0</v>
      </c>
      <c r="M81" t="n">
        <v>0</v>
      </c>
      <c r="N81" t="n">
        <v>0</v>
      </c>
      <c r="O81" t="n">
        <v>0</v>
      </c>
      <c r="P81" t="n">
        <v>0</v>
      </c>
      <c r="Q81" t="n">
        <v>0</v>
      </c>
      <c r="R81" t="n">
        <v>0</v>
      </c>
      <c r="S81" t="n">
        <v>1</v>
      </c>
      <c r="T81" t="n">
        <v>1</v>
      </c>
      <c r="U81" s="2" t="inlineStr">
        <is>
          <t>Vedticka</t>
        </is>
      </c>
      <c r="V81">
        <f>HYPERLINK("https://klasma.github.io/Logging_1882/artfynd/A 28786-2023 artfynd.xlsx", "A 28786-2023")</f>
        <v/>
      </c>
      <c r="W81">
        <f>HYPERLINK("https://klasma.github.io/Logging_1882/kartor/A 28786-2023 karta.png", "A 28786-2023")</f>
        <v/>
      </c>
      <c r="Y81">
        <f>HYPERLINK("https://klasma.github.io/Logging_1882/klagomål/A 28786-2023 FSC-klagomål.docx", "A 28786-2023")</f>
        <v/>
      </c>
      <c r="Z81">
        <f>HYPERLINK("https://klasma.github.io/Logging_1882/klagomålsmail/A 28786-2023 FSC-klagomål mail.docx", "A 28786-2023")</f>
        <v/>
      </c>
      <c r="AA81">
        <f>HYPERLINK("https://klasma.github.io/Logging_1882/tillsyn/A 28786-2023 tillsynsbegäran.docx", "A 28786-2023")</f>
        <v/>
      </c>
      <c r="AB81">
        <f>HYPERLINK("https://klasma.github.io/Logging_1882/tillsynsmail/A 28786-2023 tillsynsbegäran mail.docx", "A 28786-2023")</f>
        <v/>
      </c>
    </row>
    <row r="82" ht="15" customHeight="1">
      <c r="A82" t="inlineStr">
        <is>
          <t>A 63422-2021</t>
        </is>
      </c>
      <c r="B82" t="inlineStr">
        <is>
          <t>avverkningsanmälan</t>
        </is>
      </c>
      <c r="C82" t="inlineStr">
        <is>
          <t>Föryngringsavverkning</t>
        </is>
      </c>
      <c r="D82" s="1" t="n">
        <v>44508</v>
      </c>
      <c r="E82" s="1" t="n">
        <v>46217</v>
      </c>
      <c r="F82" t="inlineStr">
        <is>
          <t>ÖREBRO LÄN</t>
        </is>
      </c>
      <c r="G82" t="inlineStr">
        <is>
          <t>ASKERSUND</t>
        </is>
      </c>
      <c r="I82" t="n">
        <v>1.1</v>
      </c>
      <c r="J82" t="n">
        <v>0</v>
      </c>
      <c r="K82" t="n">
        <v>0</v>
      </c>
      <c r="L82" t="n">
        <v>1</v>
      </c>
      <c r="M82" t="n">
        <v>0</v>
      </c>
      <c r="N82" t="n">
        <v>0</v>
      </c>
      <c r="O82" t="n">
        <v>0</v>
      </c>
      <c r="P82" t="n">
        <v>0</v>
      </c>
      <c r="Q82" t="n">
        <v>1</v>
      </c>
      <c r="R82" t="n">
        <v>0</v>
      </c>
      <c r="S82" t="n">
        <v>1</v>
      </c>
      <c r="T82" t="n">
        <v>1</v>
      </c>
      <c r="U82" s="2" t="inlineStr">
        <is>
          <t>Humlerotfjäril</t>
        </is>
      </c>
      <c r="V82">
        <f>HYPERLINK("https://klasma.github.io/Logging_1882/artfynd/A 63422-2021 artfynd.xlsx", "A 63422-2021")</f>
        <v/>
      </c>
      <c r="W82">
        <f>HYPERLINK("https://klasma.github.io/Logging_1882/kartor/A 63422-2021 karta.png", "A 63422-2021")</f>
        <v/>
      </c>
      <c r="Y82">
        <f>HYPERLINK("https://klasma.github.io/Logging_1882/klagomål/A 63422-2021 FSC-klagomål.docx", "A 63422-2021")</f>
        <v/>
      </c>
      <c r="Z82">
        <f>HYPERLINK("https://klasma.github.io/Logging_1882/klagomålsmail/A 63422-2021 FSC-klagomål mail.docx", "A 63422-2021")</f>
        <v/>
      </c>
      <c r="AA82">
        <f>HYPERLINK("https://klasma.github.io/Logging_1882/tillsyn/A 63422-2021 tillsynsbegäran.docx", "A 63422-2021")</f>
        <v/>
      </c>
      <c r="AB82">
        <f>HYPERLINK("https://klasma.github.io/Logging_1882/tillsynsmail/A 63422-2021 tillsynsbegäran mail.docx", "A 63422-2021")</f>
        <v/>
      </c>
    </row>
    <row r="83" ht="15" customHeight="1">
      <c r="A83" t="inlineStr">
        <is>
          <t>A 2295-2023</t>
        </is>
      </c>
      <c r="B83" t="inlineStr">
        <is>
          <t>avverkningsanmälan</t>
        </is>
      </c>
      <c r="C83" t="inlineStr">
        <is>
          <t>Föryngringsavverkning</t>
        </is>
      </c>
      <c r="D83" s="1" t="n">
        <v>44942</v>
      </c>
      <c r="E83" s="1" t="n">
        <v>46217</v>
      </c>
      <c r="F83" t="inlineStr">
        <is>
          <t>ÖREBRO LÄN</t>
        </is>
      </c>
      <c r="G83" t="inlineStr">
        <is>
          <t>ASKERSUND</t>
        </is>
      </c>
      <c r="I83" t="n">
        <v>2.2</v>
      </c>
      <c r="J83" t="n">
        <v>1</v>
      </c>
      <c r="K83" t="n">
        <v>0</v>
      </c>
      <c r="L83" t="n">
        <v>1</v>
      </c>
      <c r="M83" t="n">
        <v>0</v>
      </c>
      <c r="N83" t="n">
        <v>0</v>
      </c>
      <c r="O83" t="n">
        <v>0</v>
      </c>
      <c r="P83" t="n">
        <v>0</v>
      </c>
      <c r="Q83" t="n">
        <v>1</v>
      </c>
      <c r="R83" t="n">
        <v>0</v>
      </c>
      <c r="S83" t="n">
        <v>1</v>
      </c>
      <c r="T83" t="n">
        <v>1</v>
      </c>
      <c r="U83" s="2" t="inlineStr">
        <is>
          <t>Sparvuggla</t>
        </is>
      </c>
      <c r="V83">
        <f>HYPERLINK("https://klasma.github.io/Logging_1882/artfynd/A 2295-2023 artfynd.xlsx", "A 2295-2023")</f>
        <v/>
      </c>
      <c r="W83">
        <f>HYPERLINK("https://klasma.github.io/Logging_1882/kartor/A 2295-2023 karta.png", "A 2295-2023")</f>
        <v/>
      </c>
      <c r="Y83">
        <f>HYPERLINK("https://klasma.github.io/Logging_1882/klagomål/A 2295-2023 FSC-klagomål.docx", "A 2295-2023")</f>
        <v/>
      </c>
      <c r="Z83">
        <f>HYPERLINK("https://klasma.github.io/Logging_1882/klagomålsmail/A 2295-2023 FSC-klagomål mail.docx", "A 2295-2023")</f>
        <v/>
      </c>
      <c r="AA83">
        <f>HYPERLINK("https://klasma.github.io/Logging_1882/tillsyn/A 2295-2023 tillsynsbegäran.docx", "A 2295-2023")</f>
        <v/>
      </c>
      <c r="AB83">
        <f>HYPERLINK("https://klasma.github.io/Logging_1882/tillsynsmail/A 2295-2023 tillsynsbegäran mail.docx", "A 2295-2023")</f>
        <v/>
      </c>
      <c r="AC83">
        <f>HYPERLINK("https://klasma.github.io/Logging_1882/fåglar/A 2295-2023 prioriterade fågelarter.docx", "A 2295-2023")</f>
        <v/>
      </c>
    </row>
    <row r="84" ht="15" customHeight="1">
      <c r="A84" t="inlineStr">
        <is>
          <t>A 60357-2023</t>
        </is>
      </c>
      <c r="B84" t="inlineStr">
        <is>
          <t>avverkningsanmälan</t>
        </is>
      </c>
      <c r="C84" t="inlineStr">
        <is>
          <t>Avverkning för annat ändamål</t>
        </is>
      </c>
      <c r="D84" s="1" t="n">
        <v>45258</v>
      </c>
      <c r="E84" s="1" t="n">
        <v>46217</v>
      </c>
      <c r="F84" t="inlineStr">
        <is>
          <t>ÖREBRO LÄN</t>
        </is>
      </c>
      <c r="G84" t="inlineStr">
        <is>
          <t>ASKERSUND</t>
        </is>
      </c>
      <c r="I84" t="n">
        <v>9.1</v>
      </c>
      <c r="J84" t="n">
        <v>1</v>
      </c>
      <c r="K84" t="n">
        <v>1</v>
      </c>
      <c r="L84" t="n">
        <v>0</v>
      </c>
      <c r="M84" t="n">
        <v>0</v>
      </c>
      <c r="N84" t="n">
        <v>0</v>
      </c>
      <c r="O84" t="n">
        <v>0</v>
      </c>
      <c r="P84" t="n">
        <v>0</v>
      </c>
      <c r="Q84" t="n">
        <v>0</v>
      </c>
      <c r="R84" t="n">
        <v>0</v>
      </c>
      <c r="S84" t="n">
        <v>1</v>
      </c>
      <c r="T84" t="n">
        <v>1</v>
      </c>
      <c r="U84" s="2" t="inlineStr">
        <is>
          <t>Skogsknipprot</t>
        </is>
      </c>
      <c r="V84">
        <f>HYPERLINK("https://klasma.github.io/Logging_1882/artfynd/A 60357-2023 artfynd.xlsx", "A 60357-2023")</f>
        <v/>
      </c>
      <c r="W84">
        <f>HYPERLINK("https://klasma.github.io/Logging_1882/kartor/A 60357-2023 karta.png", "A 60357-2023")</f>
        <v/>
      </c>
      <c r="Y84">
        <f>HYPERLINK("https://klasma.github.io/Logging_1882/klagomål/A 60357-2023 FSC-klagomål.docx", "A 60357-2023")</f>
        <v/>
      </c>
      <c r="Z84">
        <f>HYPERLINK("https://klasma.github.io/Logging_1882/klagomålsmail/A 60357-2023 FSC-klagomål mail.docx", "A 60357-2023")</f>
        <v/>
      </c>
      <c r="AA84">
        <f>HYPERLINK("https://klasma.github.io/Logging_1882/tillsyn/A 60357-2023 tillsynsbegäran.docx", "A 60357-2023")</f>
        <v/>
      </c>
      <c r="AB84">
        <f>HYPERLINK("https://klasma.github.io/Logging_1882/tillsynsmail/A 60357-2023 tillsynsbegäran mail.docx", "A 60357-2023")</f>
        <v/>
      </c>
    </row>
    <row r="85" ht="15" customHeight="1">
      <c r="A85" t="inlineStr">
        <is>
          <t>A 7069-2024</t>
        </is>
      </c>
      <c r="B85" t="inlineStr">
        <is>
          <t>avverkningsanmälan</t>
        </is>
      </c>
      <c r="C85" t="inlineStr">
        <is>
          <t>Föryngringsavverkning</t>
        </is>
      </c>
      <c r="D85" s="1" t="n">
        <v>45343</v>
      </c>
      <c r="E85" s="1" t="n">
        <v>46217</v>
      </c>
      <c r="F85" t="inlineStr">
        <is>
          <t>ÖREBRO LÄN</t>
        </is>
      </c>
      <c r="G85" t="inlineStr">
        <is>
          <t>ASKERSUND</t>
        </is>
      </c>
      <c r="I85" t="n">
        <v>1.9</v>
      </c>
      <c r="J85" t="n">
        <v>1</v>
      </c>
      <c r="K85" t="n">
        <v>0</v>
      </c>
      <c r="L85" t="n">
        <v>0</v>
      </c>
      <c r="M85" t="n">
        <v>0</v>
      </c>
      <c r="N85" t="n">
        <v>0</v>
      </c>
      <c r="O85" t="n">
        <v>0</v>
      </c>
      <c r="P85" t="n">
        <v>0</v>
      </c>
      <c r="Q85" t="n">
        <v>0</v>
      </c>
      <c r="R85" t="n">
        <v>0</v>
      </c>
      <c r="S85" t="n">
        <v>1</v>
      </c>
      <c r="T85" t="n">
        <v>1</v>
      </c>
      <c r="U85" s="2" t="inlineStr">
        <is>
          <t>Nattviol</t>
        </is>
      </c>
      <c r="V85">
        <f>HYPERLINK("https://klasma.github.io/Logging_1882/artfynd/A 7069-2024 artfynd.xlsx", "A 7069-2024")</f>
        <v/>
      </c>
      <c r="W85">
        <f>HYPERLINK("https://klasma.github.io/Logging_1882/kartor/A 7069-2024 karta.png", "A 7069-2024")</f>
        <v/>
      </c>
      <c r="Y85">
        <f>HYPERLINK("https://klasma.github.io/Logging_1882/klagomål/A 7069-2024 FSC-klagomål.docx", "A 7069-2024")</f>
        <v/>
      </c>
      <c r="Z85">
        <f>HYPERLINK("https://klasma.github.io/Logging_1882/klagomålsmail/A 7069-2024 FSC-klagomål mail.docx", "A 7069-2024")</f>
        <v/>
      </c>
      <c r="AA85">
        <f>HYPERLINK("https://klasma.github.io/Logging_1882/tillsyn/A 7069-2024 tillsynsbegäran.docx", "A 7069-2024")</f>
        <v/>
      </c>
      <c r="AB85">
        <f>HYPERLINK("https://klasma.github.io/Logging_1882/tillsynsmail/A 7069-2024 tillsynsbegäran mail.docx", "A 7069-2024")</f>
        <v/>
      </c>
    </row>
    <row r="86" ht="15" customHeight="1">
      <c r="A86" t="inlineStr">
        <is>
          <t>A 13425-2022</t>
        </is>
      </c>
      <c r="B86" t="inlineStr">
        <is>
          <t>avverkningsanmälan</t>
        </is>
      </c>
      <c r="C86" t="inlineStr">
        <is>
          <t>Föryngringsavverkning</t>
        </is>
      </c>
      <c r="D86" s="1" t="n">
        <v>44645</v>
      </c>
      <c r="E86" s="1" t="n">
        <v>46217</v>
      </c>
      <c r="F86" t="inlineStr">
        <is>
          <t>ÖREBRO LÄN</t>
        </is>
      </c>
      <c r="G86" t="inlineStr">
        <is>
          <t>ASKERSUND</t>
        </is>
      </c>
      <c r="I86" t="n">
        <v>16.8</v>
      </c>
      <c r="J86" t="n">
        <v>1</v>
      </c>
      <c r="K86" t="n">
        <v>0</v>
      </c>
      <c r="L86" t="n">
        <v>0</v>
      </c>
      <c r="M86" t="n">
        <v>1</v>
      </c>
      <c r="N86" t="n">
        <v>0</v>
      </c>
      <c r="O86" t="n">
        <v>0</v>
      </c>
      <c r="P86" t="n">
        <v>0</v>
      </c>
      <c r="Q86" t="n">
        <v>1</v>
      </c>
      <c r="R86" t="n">
        <v>1</v>
      </c>
      <c r="S86" t="n">
        <v>1</v>
      </c>
      <c r="T86" t="n">
        <v>1</v>
      </c>
      <c r="U86" s="2" t="inlineStr">
        <is>
          <t>Tofsvipa</t>
        </is>
      </c>
      <c r="V86">
        <f>HYPERLINK("https://klasma.github.io/Logging_1882/artfynd/A 13425-2022 artfynd.xlsx", "A 13425-2022")</f>
        <v/>
      </c>
      <c r="W86">
        <f>HYPERLINK("https://klasma.github.io/Logging_1882/kartor/A 13425-2022 karta.png", "A 13425-2022")</f>
        <v/>
      </c>
      <c r="Y86">
        <f>HYPERLINK("https://klasma.github.io/Logging_1882/klagomål/A 13425-2022 FSC-klagomål.docx", "A 13425-2022")</f>
        <v/>
      </c>
      <c r="Z86">
        <f>HYPERLINK("https://klasma.github.io/Logging_1882/klagomålsmail/A 13425-2022 FSC-klagomål mail.docx", "A 13425-2022")</f>
        <v/>
      </c>
      <c r="AA86">
        <f>HYPERLINK("https://klasma.github.io/Logging_1882/tillsyn/A 13425-2022 tillsynsbegäran.docx", "A 13425-2022")</f>
        <v/>
      </c>
      <c r="AB86">
        <f>HYPERLINK("https://klasma.github.io/Logging_1882/tillsynsmail/A 13425-2022 tillsynsbegäran mail.docx", "A 13425-2022")</f>
        <v/>
      </c>
    </row>
    <row r="87" ht="15" customHeight="1">
      <c r="A87" t="inlineStr">
        <is>
          <t>A 59920-2023</t>
        </is>
      </c>
      <c r="B87" t="inlineStr">
        <is>
          <t>avverkningsanmälan</t>
        </is>
      </c>
      <c r="C87" t="inlineStr">
        <is>
          <t>Avverkning för annat ändamål</t>
        </is>
      </c>
      <c r="D87" s="1" t="n">
        <v>45257</v>
      </c>
      <c r="E87" s="1" t="n">
        <v>46217</v>
      </c>
      <c r="F87" t="inlineStr">
        <is>
          <t>ÖREBRO LÄN</t>
        </is>
      </c>
      <c r="G87" t="inlineStr">
        <is>
          <t>ASKERSUND</t>
        </is>
      </c>
      <c r="I87" t="n">
        <v>2</v>
      </c>
      <c r="J87" t="n">
        <v>0</v>
      </c>
      <c r="K87" t="n">
        <v>0</v>
      </c>
      <c r="L87" t="n">
        <v>1</v>
      </c>
      <c r="M87" t="n">
        <v>0</v>
      </c>
      <c r="N87" t="n">
        <v>0</v>
      </c>
      <c r="O87" t="n">
        <v>0</v>
      </c>
      <c r="P87" t="n">
        <v>0</v>
      </c>
      <c r="Q87" t="n">
        <v>1</v>
      </c>
      <c r="R87" t="n">
        <v>0</v>
      </c>
      <c r="S87" t="n">
        <v>1</v>
      </c>
      <c r="T87" t="n">
        <v>1</v>
      </c>
      <c r="U87" s="2" t="inlineStr">
        <is>
          <t>Öring</t>
        </is>
      </c>
      <c r="V87">
        <f>HYPERLINK("https://klasma.github.io/Logging_1882/artfynd/A 59920-2023 artfynd.xlsx", "A 59920-2023")</f>
        <v/>
      </c>
      <c r="W87">
        <f>HYPERLINK("https://klasma.github.io/Logging_1882/kartor/A 59920-2023 karta.png", "A 59920-2023")</f>
        <v/>
      </c>
      <c r="Y87">
        <f>HYPERLINK("https://klasma.github.io/Logging_1882/klagomål/A 59920-2023 FSC-klagomål.docx", "A 59920-2023")</f>
        <v/>
      </c>
      <c r="Z87">
        <f>HYPERLINK("https://klasma.github.io/Logging_1882/klagomålsmail/A 59920-2023 FSC-klagomål mail.docx", "A 59920-2023")</f>
        <v/>
      </c>
      <c r="AA87">
        <f>HYPERLINK("https://klasma.github.io/Logging_1882/tillsyn/A 59920-2023 tillsynsbegäran.docx", "A 59920-2023")</f>
        <v/>
      </c>
      <c r="AB87">
        <f>HYPERLINK("https://klasma.github.io/Logging_1882/tillsynsmail/A 59920-2023 tillsynsbegäran mail.docx", "A 59920-2023")</f>
        <v/>
      </c>
    </row>
    <row r="88" ht="15" customHeight="1">
      <c r="A88" t="inlineStr">
        <is>
          <t>S 1509-2022</t>
        </is>
      </c>
      <c r="B88" t="inlineStr">
        <is>
          <t>samrådsanmälan</t>
        </is>
      </c>
      <c r="C88" t="inlineStr">
        <is>
          <t>Annan skogsbruksåtgärd</t>
        </is>
      </c>
      <c r="D88" s="1" t="n">
        <v>44638</v>
      </c>
      <c r="E88" s="1" t="n">
        <v>46217</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s="2" t="inlineStr">
        <is>
          <t>Knärot</t>
        </is>
      </c>
      <c r="V88">
        <f>HYPERLINK("https://klasma.github.io/Logging_1882/artfynd/S 1509-2022 artfynd.xlsx", "S 1509-2022")</f>
        <v/>
      </c>
      <c r="W88">
        <f>HYPERLINK("https://klasma.github.io/Logging_1882/kartor/S 1509-2022 karta.png", "S 1509-2022")</f>
        <v/>
      </c>
      <c r="X88">
        <f>HYPERLINK("https://klasma.github.io/Logging_1882/knärot/S 1509-2022 karta knärot.png", "S 1509-2022")</f>
        <v/>
      </c>
      <c r="Y88">
        <f>HYPERLINK("https://klasma.github.io/Logging_1882/klagomål/S 1509-2022 FSC-klagomål.docx", "S 1509-2022")</f>
        <v/>
      </c>
      <c r="Z88">
        <f>HYPERLINK("https://klasma.github.io/Logging_1882/klagomålsmail/S 1509-2022 FSC-klagomål mail.docx", "S 1509-2022")</f>
        <v/>
      </c>
      <c r="AA88">
        <f>HYPERLINK("https://klasma.github.io/Logging_1882/tillsyn/S 1509-2022 tillsynsbegäran.docx", "S 1509-2022")</f>
        <v/>
      </c>
      <c r="AB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46217</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s="2" t="inlineStr">
        <is>
          <t>Slåtterfibbla</t>
        </is>
      </c>
      <c r="V89">
        <f>HYPERLINK("https://klasma.github.io/Logging_1882/artfynd/S 4932-2024 artfynd.xlsx", "S 4932-2024")</f>
        <v/>
      </c>
      <c r="W89">
        <f>HYPERLINK("https://klasma.github.io/Logging_1882/kartor/S 4932-2024 karta.png", "S 4932-2024")</f>
        <v/>
      </c>
      <c r="Y89">
        <f>HYPERLINK("https://klasma.github.io/Logging_1882/klagomål/S 4932-2024 FSC-klagomål.docx", "S 4932-2024")</f>
        <v/>
      </c>
      <c r="Z89">
        <f>HYPERLINK("https://klasma.github.io/Logging_1882/klagomålsmail/S 4932-2024 FSC-klagomål mail.docx", "S 4932-2024")</f>
        <v/>
      </c>
      <c r="AA89">
        <f>HYPERLINK("https://klasma.github.io/Logging_1882/tillsyn/S 4932-2024 tillsynsbegäran.docx", "S 4932-2024")</f>
        <v/>
      </c>
      <c r="AB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46217</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s="2" t="inlineStr"/>
    </row>
    <row r="91" ht="15" customHeight="1">
      <c r="A91" t="inlineStr">
        <is>
          <t>A 68859-2021</t>
        </is>
      </c>
      <c r="B91" t="inlineStr">
        <is>
          <t>avverkningsanmälan</t>
        </is>
      </c>
      <c r="C91" t="inlineStr">
        <is>
          <t>Föryngringsavverkning</t>
        </is>
      </c>
      <c r="D91" s="1" t="n">
        <v>44530</v>
      </c>
      <c r="E91" s="1" t="n">
        <v>46217</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s="2" t="inlineStr"/>
    </row>
    <row r="92" ht="15" customHeight="1">
      <c r="A92" t="inlineStr">
        <is>
          <t>A 51186-2021</t>
        </is>
      </c>
      <c r="B92" t="inlineStr">
        <is>
          <t>avverkningsanmälan</t>
        </is>
      </c>
      <c r="C92" t="inlineStr">
        <is>
          <t>Föryngringsavverkning</t>
        </is>
      </c>
      <c r="D92" s="1" t="n">
        <v>44461</v>
      </c>
      <c r="E92" s="1" t="n">
        <v>46217</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s="2" t="inlineStr"/>
    </row>
    <row r="93" ht="15" customHeight="1">
      <c r="A93" t="inlineStr">
        <is>
          <t>A 66235-2021</t>
        </is>
      </c>
      <c r="B93" t="inlineStr">
        <is>
          <t>avverkningsanmälan</t>
        </is>
      </c>
      <c r="C93" t="inlineStr">
        <is>
          <t>Föryngringsavverkning</t>
        </is>
      </c>
      <c r="D93" s="1" t="n">
        <v>44518</v>
      </c>
      <c r="E93" s="1" t="n">
        <v>46217</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s="2" t="inlineStr"/>
    </row>
    <row r="94" ht="15" customHeight="1">
      <c r="A94" t="inlineStr">
        <is>
          <t>A 23700-2022</t>
        </is>
      </c>
      <c r="B94" t="inlineStr">
        <is>
          <t>avverkningsanmälan</t>
        </is>
      </c>
      <c r="C94" t="inlineStr">
        <is>
          <t>Föryngringsavverkning</t>
        </is>
      </c>
      <c r="D94" s="1" t="n">
        <v>44721</v>
      </c>
      <c r="E94" s="1" t="n">
        <v>46217</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s="2" t="inlineStr"/>
    </row>
    <row r="95" ht="15" customHeight="1">
      <c r="A95" t="inlineStr">
        <is>
          <t>A 59557-2021</t>
        </is>
      </c>
      <c r="B95" t="inlineStr">
        <is>
          <t>avverkningsanmälan</t>
        </is>
      </c>
      <c r="C95" t="inlineStr">
        <is>
          <t>Föryngringsavverkning</t>
        </is>
      </c>
      <c r="D95" s="1" t="n">
        <v>44491</v>
      </c>
      <c r="E95" s="1" t="n">
        <v>46217</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s="2" t="inlineStr"/>
    </row>
    <row r="96" ht="15" customHeight="1">
      <c r="A96" t="inlineStr">
        <is>
          <t>A 7400-2022</t>
        </is>
      </c>
      <c r="B96" t="inlineStr">
        <is>
          <t>avverkningsanmälan</t>
        </is>
      </c>
      <c r="C96" t="inlineStr">
        <is>
          <t>Avverkning för annat ändamål</t>
        </is>
      </c>
      <c r="D96" s="1" t="n">
        <v>44606</v>
      </c>
      <c r="E96" s="1" t="n">
        <v>46217</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56014-2022</t>
        </is>
      </c>
      <c r="B97" t="inlineStr">
        <is>
          <t>avverkningsanmälan</t>
        </is>
      </c>
      <c r="C97" t="inlineStr">
        <is>
          <t>Föryngringsavverkning</t>
        </is>
      </c>
      <c r="D97" s="1" t="n">
        <v>44889</v>
      </c>
      <c r="E97" s="1" t="n">
        <v>46217</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s="2" t="inlineStr"/>
    </row>
    <row r="98" ht="15" customHeight="1">
      <c r="A98" t="inlineStr">
        <is>
          <t>A 7468-2022</t>
        </is>
      </c>
      <c r="B98" t="inlineStr">
        <is>
          <t>avverkningsanmälan</t>
        </is>
      </c>
      <c r="C98" t="inlineStr">
        <is>
          <t>Föryngringsavverkning</t>
        </is>
      </c>
      <c r="D98" s="1" t="n">
        <v>44607</v>
      </c>
      <c r="E98" s="1" t="n">
        <v>46217</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s="2" t="inlineStr"/>
    </row>
    <row r="99" ht="15" customHeight="1">
      <c r="A99" t="inlineStr">
        <is>
          <t>A 56360-2021</t>
        </is>
      </c>
      <c r="B99" t="inlineStr">
        <is>
          <t>avverkningsanmälan</t>
        </is>
      </c>
      <c r="C99" t="inlineStr">
        <is>
          <t>Föryngringsavverkning</t>
        </is>
      </c>
      <c r="D99" s="1" t="n">
        <v>44480</v>
      </c>
      <c r="E99" s="1" t="n">
        <v>46217</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s="2" t="inlineStr"/>
    </row>
    <row r="100" ht="15" customHeight="1">
      <c r="A100" t="inlineStr">
        <is>
          <t>A 64115-2021</t>
        </is>
      </c>
      <c r="B100" t="inlineStr">
        <is>
          <t>avverkningsanmälan</t>
        </is>
      </c>
      <c r="C100" t="inlineStr">
        <is>
          <t>Föryngringsavverkning</t>
        </is>
      </c>
      <c r="D100" s="1" t="n">
        <v>44509</v>
      </c>
      <c r="E100" s="1" t="n">
        <v>46217</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s="2" t="inlineStr"/>
    </row>
    <row r="101" ht="15" customHeight="1">
      <c r="A101" t="inlineStr">
        <is>
          <t>A 51180-2021</t>
        </is>
      </c>
      <c r="B101" t="inlineStr">
        <is>
          <t>avverkningsanmälan</t>
        </is>
      </c>
      <c r="C101" t="inlineStr">
        <is>
          <t>Föryngringsavverkning</t>
        </is>
      </c>
      <c r="D101" s="1" t="n">
        <v>44461</v>
      </c>
      <c r="E101" s="1" t="n">
        <v>46217</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32578-2022</t>
        </is>
      </c>
      <c r="B102" t="inlineStr">
        <is>
          <t>avverkningsanmälan</t>
        </is>
      </c>
      <c r="C102" t="inlineStr">
        <is>
          <t>Föryngringsavverkning</t>
        </is>
      </c>
      <c r="D102" s="1" t="n">
        <v>44783</v>
      </c>
      <c r="E102" s="1" t="n">
        <v>46217</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50137-2021</t>
        </is>
      </c>
      <c r="B103" t="inlineStr">
        <is>
          <t>avverkningsanmälan</t>
        </is>
      </c>
      <c r="C103" t="inlineStr">
        <is>
          <t>Föryngringsavverkning</t>
        </is>
      </c>
      <c r="D103" s="1" t="n">
        <v>44456</v>
      </c>
      <c r="E103" s="1" t="n">
        <v>46217</v>
      </c>
      <c r="F103" t="inlineStr">
        <is>
          <t>ÖREBRO LÄN</t>
        </is>
      </c>
      <c r="G103" t="inlineStr">
        <is>
          <t>ASKERSUND</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50251-2021</t>
        </is>
      </c>
      <c r="B104" t="inlineStr">
        <is>
          <t>avverkningsanmälan</t>
        </is>
      </c>
      <c r="C104" t="inlineStr">
        <is>
          <t>Föryngringsavverkning</t>
        </is>
      </c>
      <c r="D104" s="1" t="n">
        <v>44458</v>
      </c>
      <c r="E104" s="1" t="n">
        <v>46217</v>
      </c>
      <c r="F104" t="inlineStr">
        <is>
          <t>ÖREBRO LÄN</t>
        </is>
      </c>
      <c r="G104" t="inlineStr">
        <is>
          <t>ASKERSUND</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25860-2022</t>
        </is>
      </c>
      <c r="B105" t="inlineStr">
        <is>
          <t>avverkningsanmälan</t>
        </is>
      </c>
      <c r="C105" t="inlineStr">
        <is>
          <t>Föryngringsavverkning</t>
        </is>
      </c>
      <c r="D105" s="1" t="n">
        <v>44733</v>
      </c>
      <c r="E105" s="1" t="n">
        <v>46217</v>
      </c>
      <c r="F105" t="inlineStr">
        <is>
          <t>ÖREBRO LÄN</t>
        </is>
      </c>
      <c r="G105" t="inlineStr">
        <is>
          <t>ASKERSUND</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40999-2022</t>
        </is>
      </c>
      <c r="B106" t="inlineStr">
        <is>
          <t>avverkningsanmälan</t>
        </is>
      </c>
      <c r="C106" t="inlineStr">
        <is>
          <t>Föryngringsavverkning</t>
        </is>
      </c>
      <c r="D106" s="1" t="n">
        <v>44825</v>
      </c>
      <c r="E106" s="1" t="n">
        <v>46217</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65485-2021</t>
        </is>
      </c>
      <c r="B107" t="inlineStr">
        <is>
          <t>avverkningsanmälan</t>
        </is>
      </c>
      <c r="C107" t="inlineStr">
        <is>
          <t>Föryngringsavverkning</t>
        </is>
      </c>
      <c r="D107" s="1" t="n">
        <v>44516</v>
      </c>
      <c r="E107" s="1" t="n">
        <v>46217</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45297-2022</t>
        </is>
      </c>
      <c r="B108" t="inlineStr">
        <is>
          <t>avverkningsanmälan</t>
        </is>
      </c>
      <c r="C108" t="inlineStr">
        <is>
          <t>Föryngringsavverkning</t>
        </is>
      </c>
      <c r="D108" s="1" t="n">
        <v>44844</v>
      </c>
      <c r="E108" s="1" t="n">
        <v>46217</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39597-2021</t>
        </is>
      </c>
      <c r="B109" t="inlineStr">
        <is>
          <t>avverkningsanmälan</t>
        </is>
      </c>
      <c r="C109" t="inlineStr">
        <is>
          <t>Föryngringsavverkning</t>
        </is>
      </c>
      <c r="D109" s="1" t="n">
        <v>44413</v>
      </c>
      <c r="E109" s="1" t="n">
        <v>46217</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s="2" t="inlineStr"/>
    </row>
    <row r="110" ht="15" customHeight="1">
      <c r="A110" t="inlineStr">
        <is>
          <t>A 52602-2021</t>
        </is>
      </c>
      <c r="B110" t="inlineStr">
        <is>
          <t>avverkningsanmälan</t>
        </is>
      </c>
      <c r="C110" t="inlineStr">
        <is>
          <t>Föryngringsavverkning</t>
        </is>
      </c>
      <c r="D110" s="1" t="n">
        <v>44466</v>
      </c>
      <c r="E110" s="1" t="n">
        <v>46217</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7481-2022</t>
        </is>
      </c>
      <c r="B111" t="inlineStr">
        <is>
          <t>avverkningsanmälan</t>
        </is>
      </c>
      <c r="C111" t="inlineStr">
        <is>
          <t>Föryngringsavverkning</t>
        </is>
      </c>
      <c r="D111" s="1" t="n">
        <v>44607</v>
      </c>
      <c r="E111" s="1" t="n">
        <v>46217</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39579-2022</t>
        </is>
      </c>
      <c r="B112" t="inlineStr">
        <is>
          <t>avverkningsanmälan</t>
        </is>
      </c>
      <c r="C112" t="inlineStr">
        <is>
          <t>Avverkning för annat ändamål</t>
        </is>
      </c>
      <c r="D112" s="1" t="n">
        <v>44818</v>
      </c>
      <c r="E112" s="1" t="n">
        <v>46217</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13502-2022</t>
        </is>
      </c>
      <c r="B113" t="inlineStr">
        <is>
          <t>avverkningsanmälan</t>
        </is>
      </c>
      <c r="C113" t="inlineStr">
        <is>
          <t>Avverkning för att bevara och utveckla /försöksver</t>
        </is>
      </c>
      <c r="D113" s="1" t="n">
        <v>44647</v>
      </c>
      <c r="E113" s="1" t="n">
        <v>46217</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64007-2021</t>
        </is>
      </c>
      <c r="B114" t="inlineStr">
        <is>
          <t>avverkningsanmälan</t>
        </is>
      </c>
      <c r="C114" t="inlineStr">
        <is>
          <t>Föryngringsavverkning</t>
        </is>
      </c>
      <c r="D114" s="1" t="n">
        <v>44510</v>
      </c>
      <c r="E114" s="1" t="n">
        <v>46217</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58145-2021</t>
        </is>
      </c>
      <c r="B115" t="inlineStr">
        <is>
          <t>avverkningsanmälan</t>
        </is>
      </c>
      <c r="C115" t="inlineStr">
        <is>
          <t>Föryngringsavverkning</t>
        </is>
      </c>
      <c r="D115" s="1" t="n">
        <v>44487</v>
      </c>
      <c r="E115" s="1" t="n">
        <v>46217</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s="2" t="inlineStr"/>
    </row>
    <row r="116" ht="15" customHeight="1">
      <c r="A116" t="inlineStr">
        <is>
          <t>A 29390-2022</t>
        </is>
      </c>
      <c r="B116" t="inlineStr">
        <is>
          <t>avverkningsanmälan</t>
        </is>
      </c>
      <c r="C116" t="inlineStr">
        <is>
          <t>Föryngringsavverkning</t>
        </is>
      </c>
      <c r="D116" s="1" t="n">
        <v>44753</v>
      </c>
      <c r="E116" s="1" t="n">
        <v>46217</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51402-2022</t>
        </is>
      </c>
      <c r="B117" t="inlineStr">
        <is>
          <t>avverkningsanmälan</t>
        </is>
      </c>
      <c r="C117" t="inlineStr">
        <is>
          <t>Föryngringsavverkning</t>
        </is>
      </c>
      <c r="D117" s="1" t="n">
        <v>44866</v>
      </c>
      <c r="E117" s="1" t="n">
        <v>46217</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42830-2021</t>
        </is>
      </c>
      <c r="B118" t="inlineStr">
        <is>
          <t>avverkningsanmälan</t>
        </is>
      </c>
      <c r="C118" t="inlineStr">
        <is>
          <t>Föryngringsavverkning</t>
        </is>
      </c>
      <c r="D118" s="1" t="n">
        <v>44430</v>
      </c>
      <c r="E118" s="1" t="n">
        <v>46217</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s="2" t="inlineStr"/>
    </row>
    <row r="119" ht="15" customHeight="1">
      <c r="A119" t="inlineStr">
        <is>
          <t>A 25059-2022</t>
        </is>
      </c>
      <c r="B119" t="inlineStr">
        <is>
          <t>avverkningsanmälan</t>
        </is>
      </c>
      <c r="C119" t="inlineStr">
        <is>
          <t>Föryngringsavverkning</t>
        </is>
      </c>
      <c r="D119" s="1" t="n">
        <v>44729</v>
      </c>
      <c r="E119" s="1" t="n">
        <v>46217</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68343-2021</t>
        </is>
      </c>
      <c r="B120" t="inlineStr">
        <is>
          <t>avverkningsanmälan</t>
        </is>
      </c>
      <c r="C120" t="inlineStr">
        <is>
          <t>Föryngringsavverkning</t>
        </is>
      </c>
      <c r="D120" s="1" t="n">
        <v>44528</v>
      </c>
      <c r="E120" s="1" t="n">
        <v>46217</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66879-2021</t>
        </is>
      </c>
      <c r="B121" t="inlineStr">
        <is>
          <t>avverkningsanmälan</t>
        </is>
      </c>
      <c r="C121" t="inlineStr">
        <is>
          <t>Föryngringsavverkning</t>
        </is>
      </c>
      <c r="D121" s="1" t="n">
        <v>44522</v>
      </c>
      <c r="E121" s="1" t="n">
        <v>46217</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32573-2022</t>
        </is>
      </c>
      <c r="B122" t="inlineStr">
        <is>
          <t>avverkningsanmälan</t>
        </is>
      </c>
      <c r="C122" t="inlineStr">
        <is>
          <t>Föryngringsavverkning</t>
        </is>
      </c>
      <c r="D122" s="1" t="n">
        <v>44783</v>
      </c>
      <c r="E122" s="1" t="n">
        <v>46217</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32325-2022</t>
        </is>
      </c>
      <c r="B123" t="inlineStr">
        <is>
          <t>avverkningsanmälan</t>
        </is>
      </c>
      <c r="C123" t="inlineStr">
        <is>
          <t>Föryngringsavverkning</t>
        </is>
      </c>
      <c r="D123" s="1" t="n">
        <v>44781</v>
      </c>
      <c r="E123" s="1" t="n">
        <v>46217</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47517-2021</t>
        </is>
      </c>
      <c r="B124" t="inlineStr">
        <is>
          <t>avverkningsanmälan</t>
        </is>
      </c>
      <c r="C124" t="inlineStr">
        <is>
          <t>Föryngringsavverkning</t>
        </is>
      </c>
      <c r="D124" s="1" t="n">
        <v>44447</v>
      </c>
      <c r="E124" s="1" t="n">
        <v>46217</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48428-2021</t>
        </is>
      </c>
      <c r="B125" t="inlineStr">
        <is>
          <t>avverkningsanmälan</t>
        </is>
      </c>
      <c r="C125" t="inlineStr">
        <is>
          <t>Föryngringsavverkning</t>
        </is>
      </c>
      <c r="D125" s="1" t="n">
        <v>44449</v>
      </c>
      <c r="E125" s="1" t="n">
        <v>46217</v>
      </c>
      <c r="F125" t="inlineStr">
        <is>
          <t>ÖREBRO LÄN</t>
        </is>
      </c>
      <c r="G125" t="inlineStr">
        <is>
          <t>ASKERSUND</t>
        </is>
      </c>
      <c r="I125" t="n">
        <v>2</v>
      </c>
      <c r="J125" t="n">
        <v>0</v>
      </c>
      <c r="K125" t="n">
        <v>0</v>
      </c>
      <c r="L125" t="n">
        <v>0</v>
      </c>
      <c r="M125" t="n">
        <v>0</v>
      </c>
      <c r="N125" t="n">
        <v>0</v>
      </c>
      <c r="O125" t="n">
        <v>0</v>
      </c>
      <c r="P125" t="n">
        <v>0</v>
      </c>
      <c r="Q125" t="n">
        <v>0</v>
      </c>
      <c r="R125" t="n">
        <v>0</v>
      </c>
      <c r="S125" t="n">
        <v>0</v>
      </c>
      <c r="T125" t="n">
        <v>0</v>
      </c>
      <c r="U125" s="2" t="inlineStr"/>
    </row>
    <row r="126" ht="15" customHeight="1">
      <c r="A126" t="inlineStr">
        <is>
          <t>A 48463-2021</t>
        </is>
      </c>
      <c r="B126" t="inlineStr">
        <is>
          <t>avverkningsanmälan</t>
        </is>
      </c>
      <c r="C126" t="inlineStr">
        <is>
          <t>Föryngringsavverkning</t>
        </is>
      </c>
      <c r="D126" s="1" t="n">
        <v>44452</v>
      </c>
      <c r="E126" s="1" t="n">
        <v>46217</v>
      </c>
      <c r="F126" t="inlineStr">
        <is>
          <t>ÖREBRO LÄN</t>
        </is>
      </c>
      <c r="G126" t="inlineStr">
        <is>
          <t>ASKERSUND</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44150-2021</t>
        </is>
      </c>
      <c r="B127" t="inlineStr">
        <is>
          <t>avverkningsanmälan</t>
        </is>
      </c>
      <c r="C127" t="inlineStr">
        <is>
          <t>Föryngringsavverkning</t>
        </is>
      </c>
      <c r="D127" s="1" t="n">
        <v>44434</v>
      </c>
      <c r="E127" s="1" t="n">
        <v>46217</v>
      </c>
      <c r="F127" t="inlineStr">
        <is>
          <t>ÖREBRO LÄN</t>
        </is>
      </c>
      <c r="G127" t="inlineStr">
        <is>
          <t>ASKERSUND</t>
        </is>
      </c>
      <c r="I127" t="n">
        <v>4</v>
      </c>
      <c r="J127" t="n">
        <v>0</v>
      </c>
      <c r="K127" t="n">
        <v>0</v>
      </c>
      <c r="L127" t="n">
        <v>0</v>
      </c>
      <c r="M127" t="n">
        <v>0</v>
      </c>
      <c r="N127" t="n">
        <v>0</v>
      </c>
      <c r="O127" t="n">
        <v>0</v>
      </c>
      <c r="P127" t="n">
        <v>0</v>
      </c>
      <c r="Q127" t="n">
        <v>0</v>
      </c>
      <c r="R127" t="n">
        <v>0</v>
      </c>
      <c r="S127" t="n">
        <v>0</v>
      </c>
      <c r="T127" t="n">
        <v>0</v>
      </c>
      <c r="U127" s="2" t="inlineStr"/>
    </row>
    <row r="128" ht="15" customHeight="1">
      <c r="A128" t="inlineStr">
        <is>
          <t>A 64008-2021</t>
        </is>
      </c>
      <c r="B128" t="inlineStr">
        <is>
          <t>avverkningsanmälan</t>
        </is>
      </c>
      <c r="C128" t="inlineStr">
        <is>
          <t>Föryngringsavverkning</t>
        </is>
      </c>
      <c r="D128" s="1" t="n">
        <v>44510</v>
      </c>
      <c r="E128" s="1" t="n">
        <v>46217</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51227-2021</t>
        </is>
      </c>
      <c r="B129" t="inlineStr">
        <is>
          <t>avverkningsanmälan</t>
        </is>
      </c>
      <c r="C129" t="inlineStr">
        <is>
          <t>Föryngringsavverkning</t>
        </is>
      </c>
      <c r="D129" s="1" t="n">
        <v>44461</v>
      </c>
      <c r="E129" s="1" t="n">
        <v>46217</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38271-2021</t>
        </is>
      </c>
      <c r="B130" t="inlineStr">
        <is>
          <t>avverkningsanmälan</t>
        </is>
      </c>
      <c r="C130" t="inlineStr">
        <is>
          <t>Föryngringsavverkning</t>
        </is>
      </c>
      <c r="D130" s="1" t="n">
        <v>44405</v>
      </c>
      <c r="E130" s="1" t="n">
        <v>46217</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41252-2021</t>
        </is>
      </c>
      <c r="B131" t="inlineStr">
        <is>
          <t>avverkningsanmälan</t>
        </is>
      </c>
      <c r="C131" t="inlineStr">
        <is>
          <t>Föryngringsavverkning</t>
        </is>
      </c>
      <c r="D131" s="1" t="n">
        <v>44424</v>
      </c>
      <c r="E131" s="1" t="n">
        <v>46217</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30878-2022</t>
        </is>
      </c>
      <c r="B132" t="inlineStr">
        <is>
          <t>avverkningsanmälan</t>
        </is>
      </c>
      <c r="C132" t="inlineStr">
        <is>
          <t>Föryngringsavverkning</t>
        </is>
      </c>
      <c r="D132" s="1" t="n">
        <v>44767</v>
      </c>
      <c r="E132" s="1" t="n">
        <v>46217</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s="2" t="inlineStr"/>
    </row>
    <row r="133" ht="15" customHeight="1">
      <c r="A133" t="inlineStr">
        <is>
          <t>A 30787-2022</t>
        </is>
      </c>
      <c r="B133" t="inlineStr">
        <is>
          <t>avverkningsanmälan</t>
        </is>
      </c>
      <c r="C133" t="inlineStr">
        <is>
          <t>Föryngringsavverkning</t>
        </is>
      </c>
      <c r="D133" s="1" t="n">
        <v>44764</v>
      </c>
      <c r="E133" s="1" t="n">
        <v>46217</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46966-2021</t>
        </is>
      </c>
      <c r="B134" t="inlineStr">
        <is>
          <t>avverkningsanmälan</t>
        </is>
      </c>
      <c r="C134" t="inlineStr">
        <is>
          <t>Föryngringsavverkning</t>
        </is>
      </c>
      <c r="D134" s="1" t="n">
        <v>44446</v>
      </c>
      <c r="E134" s="1" t="n">
        <v>46217</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46954-2021</t>
        </is>
      </c>
      <c r="B135" t="inlineStr">
        <is>
          <t>avverkningsanmälan</t>
        </is>
      </c>
      <c r="C135" t="inlineStr">
        <is>
          <t>Föryngringsavverkning</t>
        </is>
      </c>
      <c r="D135" s="1" t="n">
        <v>44446</v>
      </c>
      <c r="E135" s="1" t="n">
        <v>46217</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49308-2021</t>
        </is>
      </c>
      <c r="B136" t="inlineStr">
        <is>
          <t>avverkningsanmälan</t>
        </is>
      </c>
      <c r="C136" t="inlineStr">
        <is>
          <t>Föryngringsavverkning</t>
        </is>
      </c>
      <c r="D136" s="1" t="n">
        <v>44454</v>
      </c>
      <c r="E136" s="1" t="n">
        <v>46217</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56294-2021</t>
        </is>
      </c>
      <c r="B137" t="inlineStr">
        <is>
          <t>avverkningsanmälan</t>
        </is>
      </c>
      <c r="C137" t="inlineStr">
        <is>
          <t>Föryngringsavverkning</t>
        </is>
      </c>
      <c r="D137" s="1" t="n">
        <v>44480</v>
      </c>
      <c r="E137" s="1" t="n">
        <v>46217</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56363-2021</t>
        </is>
      </c>
      <c r="B138" t="inlineStr">
        <is>
          <t>avverkningsanmälan</t>
        </is>
      </c>
      <c r="C138" t="inlineStr">
        <is>
          <t>Föryngringsavverkning</t>
        </is>
      </c>
      <c r="D138" s="1" t="n">
        <v>44480</v>
      </c>
      <c r="E138" s="1" t="n">
        <v>46217</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40589-2021</t>
        </is>
      </c>
      <c r="B139" t="inlineStr">
        <is>
          <t>avverkningsanmälan</t>
        </is>
      </c>
      <c r="C139" t="inlineStr">
        <is>
          <t>Föryngringsavverkning</t>
        </is>
      </c>
      <c r="D139" s="1" t="n">
        <v>44420</v>
      </c>
      <c r="E139" s="1" t="n">
        <v>46217</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29997-2022</t>
        </is>
      </c>
      <c r="B140" t="inlineStr">
        <is>
          <t>avverkningsanmälan</t>
        </is>
      </c>
      <c r="C140" t="inlineStr">
        <is>
          <t>Föryngringsavverkning</t>
        </is>
      </c>
      <c r="D140" s="1" t="n">
        <v>44756</v>
      </c>
      <c r="E140" s="1" t="n">
        <v>46217</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s="2" t="inlineStr"/>
    </row>
    <row r="141" ht="15" customHeight="1">
      <c r="A141" t="inlineStr">
        <is>
          <t>A 8296-2022</t>
        </is>
      </c>
      <c r="B141" t="inlineStr">
        <is>
          <t>avverkningsanmälan</t>
        </is>
      </c>
      <c r="C141" t="inlineStr">
        <is>
          <t>Föryngringsavverkning</t>
        </is>
      </c>
      <c r="D141" s="1" t="n">
        <v>44610</v>
      </c>
      <c r="E141" s="1" t="n">
        <v>46217</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37277-2021</t>
        </is>
      </c>
      <c r="B142" t="inlineStr">
        <is>
          <t>avverkningsanmälan</t>
        </is>
      </c>
      <c r="C142" t="inlineStr">
        <is>
          <t>Föryngringsavverkning</t>
        </is>
      </c>
      <c r="D142" s="1" t="n">
        <v>44397</v>
      </c>
      <c r="E142" s="1" t="n">
        <v>46217</v>
      </c>
      <c r="F142" t="inlineStr">
        <is>
          <t>ÖREBRO LÄN</t>
        </is>
      </c>
      <c r="G142" t="inlineStr">
        <is>
          <t>ASKERSUND</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38484-2021</t>
        </is>
      </c>
      <c r="B143" t="inlineStr">
        <is>
          <t>avverkningsanmälan</t>
        </is>
      </c>
      <c r="C143" t="inlineStr">
        <is>
          <t>Föryngringsavverkning</t>
        </is>
      </c>
      <c r="D143" s="1" t="n">
        <v>44407</v>
      </c>
      <c r="E143" s="1" t="n">
        <v>46217</v>
      </c>
      <c r="F143" t="inlineStr">
        <is>
          <t>ÖREBRO LÄN</t>
        </is>
      </c>
      <c r="G143" t="inlineStr">
        <is>
          <t>ASKERSUND</t>
        </is>
      </c>
      <c r="I143" t="n">
        <v>2.8</v>
      </c>
      <c r="J143" t="n">
        <v>0</v>
      </c>
      <c r="K143" t="n">
        <v>0</v>
      </c>
      <c r="L143" t="n">
        <v>0</v>
      </c>
      <c r="M143" t="n">
        <v>0</v>
      </c>
      <c r="N143" t="n">
        <v>0</v>
      </c>
      <c r="O143" t="n">
        <v>0</v>
      </c>
      <c r="P143" t="n">
        <v>0</v>
      </c>
      <c r="Q143" t="n">
        <v>0</v>
      </c>
      <c r="R143" t="n">
        <v>0</v>
      </c>
      <c r="S143" t="n">
        <v>0</v>
      </c>
      <c r="T143" t="n">
        <v>0</v>
      </c>
      <c r="U143" s="2" t="inlineStr"/>
    </row>
    <row r="144" ht="15" customHeight="1">
      <c r="A144" t="inlineStr">
        <is>
          <t>A 63939-2021</t>
        </is>
      </c>
      <c r="B144" t="inlineStr">
        <is>
          <t>avverkningsanmälan</t>
        </is>
      </c>
      <c r="C144" t="inlineStr">
        <is>
          <t>Föryngringsavverkning</t>
        </is>
      </c>
      <c r="D144" s="1" t="n">
        <v>44509</v>
      </c>
      <c r="E144" s="1" t="n">
        <v>46217</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31717-2022</t>
        </is>
      </c>
      <c r="B145" t="inlineStr">
        <is>
          <t>avverkningsanmälan</t>
        </is>
      </c>
      <c r="C145" t="inlineStr">
        <is>
          <t>Föryngringsavverkning</t>
        </is>
      </c>
      <c r="D145" s="1" t="n">
        <v>44776</v>
      </c>
      <c r="E145" s="1" t="n">
        <v>46217</v>
      </c>
      <c r="F145" t="inlineStr">
        <is>
          <t>ÖREBRO LÄN</t>
        </is>
      </c>
      <c r="G145" t="inlineStr">
        <is>
          <t>ASKERSUND</t>
        </is>
      </c>
      <c r="H145" t="inlineStr">
        <is>
          <t>Sveaskog</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52938-2021</t>
        </is>
      </c>
      <c r="B146" t="inlineStr">
        <is>
          <t>avverkningsanmälan</t>
        </is>
      </c>
      <c r="C146" t="inlineStr">
        <is>
          <t>Föryngringsavverkning</t>
        </is>
      </c>
      <c r="D146" s="1" t="n">
        <v>44467</v>
      </c>
      <c r="E146" s="1" t="n">
        <v>46217</v>
      </c>
      <c r="F146" t="inlineStr">
        <is>
          <t>ÖREBRO LÄN</t>
        </is>
      </c>
      <c r="G146" t="inlineStr">
        <is>
          <t>ASKERSUND</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52222-2021</t>
        </is>
      </c>
      <c r="B147" t="inlineStr">
        <is>
          <t>avverkningsanmälan</t>
        </is>
      </c>
      <c r="C147" t="inlineStr">
        <is>
          <t>Avverkning för att bevara och utveckla /försöksver</t>
        </is>
      </c>
      <c r="D147" s="1" t="n">
        <v>44463</v>
      </c>
      <c r="E147" s="1" t="n">
        <v>46217</v>
      </c>
      <c r="F147" t="inlineStr">
        <is>
          <t>ÖREBRO LÄN</t>
        </is>
      </c>
      <c r="G147" t="inlineStr">
        <is>
          <t>ASKERSUND</t>
        </is>
      </c>
      <c r="H147" t="inlineStr">
        <is>
          <t>Sveaskog</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62832-2021</t>
        </is>
      </c>
      <c r="B148" t="inlineStr">
        <is>
          <t>avverkningsanmälan</t>
        </is>
      </c>
      <c r="C148" t="inlineStr">
        <is>
          <t>Föryngringsavverkning</t>
        </is>
      </c>
      <c r="D148" s="1" t="n">
        <v>44503</v>
      </c>
      <c r="E148" s="1" t="n">
        <v>46217</v>
      </c>
      <c r="F148" t="inlineStr">
        <is>
          <t>ÖREBRO LÄN</t>
        </is>
      </c>
      <c r="G148" t="inlineStr">
        <is>
          <t>ASKERSUND</t>
        </is>
      </c>
      <c r="I148" t="n">
        <v>4.4</v>
      </c>
      <c r="J148" t="n">
        <v>0</v>
      </c>
      <c r="K148" t="n">
        <v>0</v>
      </c>
      <c r="L148" t="n">
        <v>0</v>
      </c>
      <c r="M148" t="n">
        <v>0</v>
      </c>
      <c r="N148" t="n">
        <v>0</v>
      </c>
      <c r="O148" t="n">
        <v>0</v>
      </c>
      <c r="P148" t="n">
        <v>0</v>
      </c>
      <c r="Q148" t="n">
        <v>0</v>
      </c>
      <c r="R148" t="n">
        <v>0</v>
      </c>
      <c r="S148" t="n">
        <v>0</v>
      </c>
      <c r="T148" t="n">
        <v>0</v>
      </c>
      <c r="U148" s="2" t="inlineStr"/>
    </row>
    <row r="149" ht="15" customHeight="1">
      <c r="A149" t="inlineStr">
        <is>
          <t>A 68977-2021</t>
        </is>
      </c>
      <c r="B149" t="inlineStr">
        <is>
          <t>avverkningsanmälan</t>
        </is>
      </c>
      <c r="C149" t="inlineStr">
        <is>
          <t>Föryngringsavverkning</t>
        </is>
      </c>
      <c r="D149" s="1" t="n">
        <v>44530</v>
      </c>
      <c r="E149" s="1" t="n">
        <v>46217</v>
      </c>
      <c r="F149" t="inlineStr">
        <is>
          <t>ÖREBRO LÄN</t>
        </is>
      </c>
      <c r="G149" t="inlineStr">
        <is>
          <t>ASKERSUND</t>
        </is>
      </c>
      <c r="H149" t="inlineStr">
        <is>
          <t>Sveaskog</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12292-2022</t>
        </is>
      </c>
      <c r="B150" t="inlineStr">
        <is>
          <t>avverkningsanmälan</t>
        </is>
      </c>
      <c r="C150" t="inlineStr">
        <is>
          <t>Föryngringsavverkning</t>
        </is>
      </c>
      <c r="D150" s="1" t="n">
        <v>44637</v>
      </c>
      <c r="E150" s="1" t="n">
        <v>46217</v>
      </c>
      <c r="F150" t="inlineStr">
        <is>
          <t>ÖREBRO LÄN</t>
        </is>
      </c>
      <c r="G150" t="inlineStr">
        <is>
          <t>ASKERSUND</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64778-2021</t>
        </is>
      </c>
      <c r="B151" t="inlineStr">
        <is>
          <t>avverkningsanmälan</t>
        </is>
      </c>
      <c r="C151" t="inlineStr">
        <is>
          <t>Föryngringsavverkning</t>
        </is>
      </c>
      <c r="D151" s="1" t="n">
        <v>44512</v>
      </c>
      <c r="E151" s="1" t="n">
        <v>46217</v>
      </c>
      <c r="F151" t="inlineStr">
        <is>
          <t>ÖREBRO LÄN</t>
        </is>
      </c>
      <c r="G151" t="inlineStr">
        <is>
          <t>ASKERSUND</t>
        </is>
      </c>
      <c r="H151" t="inlineStr">
        <is>
          <t>Sveaskog</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25858-2022</t>
        </is>
      </c>
      <c r="B152" t="inlineStr">
        <is>
          <t>avverkningsanmälan</t>
        </is>
      </c>
      <c r="C152" t="inlineStr">
        <is>
          <t>Föryngringsavverkning</t>
        </is>
      </c>
      <c r="D152" s="1" t="n">
        <v>44733</v>
      </c>
      <c r="E152" s="1" t="n">
        <v>46217</v>
      </c>
      <c r="F152" t="inlineStr">
        <is>
          <t>ÖREBRO LÄN</t>
        </is>
      </c>
      <c r="G152" t="inlineStr">
        <is>
          <t>ASKERSUND</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61570-2021</t>
        </is>
      </c>
      <c r="B153" t="inlineStr">
        <is>
          <t>avverkningsanmälan</t>
        </is>
      </c>
      <c r="C153" t="inlineStr">
        <is>
          <t>Föryngringsavverkning</t>
        </is>
      </c>
      <c r="D153" s="1" t="n">
        <v>44501</v>
      </c>
      <c r="E153" s="1" t="n">
        <v>46217</v>
      </c>
      <c r="F153" t="inlineStr">
        <is>
          <t>ÖREBRO LÄN</t>
        </is>
      </c>
      <c r="G153" t="inlineStr">
        <is>
          <t>ASKERSUND</t>
        </is>
      </c>
      <c r="I153" t="n">
        <v>6.1</v>
      </c>
      <c r="J153" t="n">
        <v>0</v>
      </c>
      <c r="K153" t="n">
        <v>0</v>
      </c>
      <c r="L153" t="n">
        <v>0</v>
      </c>
      <c r="M153" t="n">
        <v>0</v>
      </c>
      <c r="N153" t="n">
        <v>0</v>
      </c>
      <c r="O153" t="n">
        <v>0</v>
      </c>
      <c r="P153" t="n">
        <v>0</v>
      </c>
      <c r="Q153" t="n">
        <v>0</v>
      </c>
      <c r="R153" t="n">
        <v>0</v>
      </c>
      <c r="S153" t="n">
        <v>0</v>
      </c>
      <c r="T153" t="n">
        <v>0</v>
      </c>
      <c r="U153" s="2" t="inlineStr"/>
    </row>
    <row r="154" ht="15" customHeight="1">
      <c r="A154" t="inlineStr">
        <is>
          <t>A 46661-2022</t>
        </is>
      </c>
      <c r="B154" t="inlineStr">
        <is>
          <t>avverkningsanmälan</t>
        </is>
      </c>
      <c r="C154" t="inlineStr">
        <is>
          <t>Föryngringsavverkning</t>
        </is>
      </c>
      <c r="D154" s="1" t="n">
        <v>44850</v>
      </c>
      <c r="E154" s="1" t="n">
        <v>46217</v>
      </c>
      <c r="F154" t="inlineStr">
        <is>
          <t>ÖREBRO LÄN</t>
        </is>
      </c>
      <c r="G154" t="inlineStr">
        <is>
          <t>ASKERSUND</t>
        </is>
      </c>
      <c r="I154" t="n">
        <v>3</v>
      </c>
      <c r="J154" t="n">
        <v>0</v>
      </c>
      <c r="K154" t="n">
        <v>0</v>
      </c>
      <c r="L154" t="n">
        <v>0</v>
      </c>
      <c r="M154" t="n">
        <v>0</v>
      </c>
      <c r="N154" t="n">
        <v>0</v>
      </c>
      <c r="O154" t="n">
        <v>0</v>
      </c>
      <c r="P154" t="n">
        <v>0</v>
      </c>
      <c r="Q154" t="n">
        <v>0</v>
      </c>
      <c r="R154" t="n">
        <v>0</v>
      </c>
      <c r="S154" t="n">
        <v>0</v>
      </c>
      <c r="T154" t="n">
        <v>0</v>
      </c>
      <c r="U154" s="2" t="inlineStr"/>
    </row>
    <row r="155" ht="15" customHeight="1">
      <c r="A155" t="inlineStr">
        <is>
          <t>A 11161-2022</t>
        </is>
      </c>
      <c r="B155" t="inlineStr">
        <is>
          <t>avverkningsanmälan</t>
        </is>
      </c>
      <c r="C155" t="inlineStr">
        <is>
          <t>Föryngringsavverkning</t>
        </is>
      </c>
      <c r="D155" s="1" t="n">
        <v>44629</v>
      </c>
      <c r="E155" s="1" t="n">
        <v>46217</v>
      </c>
      <c r="F155" t="inlineStr">
        <is>
          <t>ÖREBRO LÄN</t>
        </is>
      </c>
      <c r="G155" t="inlineStr">
        <is>
          <t>ASKERSUND</t>
        </is>
      </c>
      <c r="I155" t="n">
        <v>0.2</v>
      </c>
      <c r="J155" t="n">
        <v>0</v>
      </c>
      <c r="K155" t="n">
        <v>0</v>
      </c>
      <c r="L155" t="n">
        <v>0</v>
      </c>
      <c r="M155" t="n">
        <v>0</v>
      </c>
      <c r="N155" t="n">
        <v>0</v>
      </c>
      <c r="O155" t="n">
        <v>0</v>
      </c>
      <c r="P155" t="n">
        <v>0</v>
      </c>
      <c r="Q155" t="n">
        <v>0</v>
      </c>
      <c r="R155" t="n">
        <v>0</v>
      </c>
      <c r="S155" t="n">
        <v>0</v>
      </c>
      <c r="T155" t="n">
        <v>0</v>
      </c>
      <c r="U155" s="2" t="inlineStr"/>
    </row>
    <row r="156" ht="15" customHeight="1">
      <c r="A156" t="inlineStr">
        <is>
          <t>A 37393-2021</t>
        </is>
      </c>
      <c r="B156" t="inlineStr">
        <is>
          <t>avverkningsanmälan</t>
        </is>
      </c>
      <c r="C156" t="inlineStr">
        <is>
          <t>Föryngringsavverkning</t>
        </is>
      </c>
      <c r="D156" s="1" t="n">
        <v>44398</v>
      </c>
      <c r="E156" s="1" t="n">
        <v>46217</v>
      </c>
      <c r="F156" t="inlineStr">
        <is>
          <t>ÖREBRO LÄN</t>
        </is>
      </c>
      <c r="G156" t="inlineStr">
        <is>
          <t>ASKERSUND</t>
        </is>
      </c>
      <c r="I156" t="n">
        <v>6.2</v>
      </c>
      <c r="J156" t="n">
        <v>0</v>
      </c>
      <c r="K156" t="n">
        <v>0</v>
      </c>
      <c r="L156" t="n">
        <v>0</v>
      </c>
      <c r="M156" t="n">
        <v>0</v>
      </c>
      <c r="N156" t="n">
        <v>0</v>
      </c>
      <c r="O156" t="n">
        <v>0</v>
      </c>
      <c r="P156" t="n">
        <v>0</v>
      </c>
      <c r="Q156" t="n">
        <v>0</v>
      </c>
      <c r="R156" t="n">
        <v>0</v>
      </c>
      <c r="S156" t="n">
        <v>0</v>
      </c>
      <c r="T156" t="n">
        <v>0</v>
      </c>
      <c r="U156" s="2" t="inlineStr"/>
    </row>
    <row r="157" ht="15" customHeight="1">
      <c r="A157" t="inlineStr">
        <is>
          <t>A 44978-2021</t>
        </is>
      </c>
      <c r="B157" t="inlineStr">
        <is>
          <t>avverkningsanmälan</t>
        </is>
      </c>
      <c r="C157" t="inlineStr">
        <is>
          <t>Föryngringsavverkning</t>
        </is>
      </c>
      <c r="D157" s="1" t="n">
        <v>44438</v>
      </c>
      <c r="E157" s="1" t="n">
        <v>46217</v>
      </c>
      <c r="F157" t="inlineStr">
        <is>
          <t>ÖREBRO LÄN</t>
        </is>
      </c>
      <c r="G157" t="inlineStr">
        <is>
          <t>ASKERSUND</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12302-2022</t>
        </is>
      </c>
      <c r="B158" t="inlineStr">
        <is>
          <t>avverkningsanmälan</t>
        </is>
      </c>
      <c r="C158" t="inlineStr">
        <is>
          <t>Föryngringsavverkning</t>
        </is>
      </c>
      <c r="D158" s="1" t="n">
        <v>44637</v>
      </c>
      <c r="E158" s="1" t="n">
        <v>46217</v>
      </c>
      <c r="F158" t="inlineStr">
        <is>
          <t>ÖREBRO LÄN</t>
        </is>
      </c>
      <c r="G158" t="inlineStr">
        <is>
          <t>ASKERSUND</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66010-2021</t>
        </is>
      </c>
      <c r="B159" t="inlineStr">
        <is>
          <t>avverkningsanmälan</t>
        </is>
      </c>
      <c r="C159" t="inlineStr">
        <is>
          <t>Föryngringsavverkning</t>
        </is>
      </c>
      <c r="D159" s="1" t="n">
        <v>44517</v>
      </c>
      <c r="E159" s="1" t="n">
        <v>46217</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42495-2022</t>
        </is>
      </c>
      <c r="B160" t="inlineStr">
        <is>
          <t>avverkningsanmälan</t>
        </is>
      </c>
      <c r="C160" t="inlineStr">
        <is>
          <t>Föryngringsavverkning</t>
        </is>
      </c>
      <c r="D160" s="1" t="n">
        <v>44831</v>
      </c>
      <c r="E160" s="1" t="n">
        <v>46217</v>
      </c>
      <c r="F160" t="inlineStr">
        <is>
          <t>ÖREBRO LÄN</t>
        </is>
      </c>
      <c r="G160" t="inlineStr">
        <is>
          <t>ASKERSUND</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12465-2022</t>
        </is>
      </c>
      <c r="B161" t="inlineStr">
        <is>
          <t>avverkningsanmälan</t>
        </is>
      </c>
      <c r="C161" t="inlineStr">
        <is>
          <t>Föryngringsavverkning</t>
        </is>
      </c>
      <c r="D161" s="1" t="n">
        <v>44638</v>
      </c>
      <c r="E161" s="1" t="n">
        <v>46217</v>
      </c>
      <c r="F161" t="inlineStr">
        <is>
          <t>ÖREBRO LÄN</t>
        </is>
      </c>
      <c r="G161" t="inlineStr">
        <is>
          <t>ASKERSUND</t>
        </is>
      </c>
      <c r="I161" t="n">
        <v>2.4</v>
      </c>
      <c r="J161" t="n">
        <v>0</v>
      </c>
      <c r="K161" t="n">
        <v>0</v>
      </c>
      <c r="L161" t="n">
        <v>0</v>
      </c>
      <c r="M161" t="n">
        <v>0</v>
      </c>
      <c r="N161" t="n">
        <v>0</v>
      </c>
      <c r="O161" t="n">
        <v>0</v>
      </c>
      <c r="P161" t="n">
        <v>0</v>
      </c>
      <c r="Q161" t="n">
        <v>0</v>
      </c>
      <c r="R161" t="n">
        <v>0</v>
      </c>
      <c r="S161" t="n">
        <v>0</v>
      </c>
      <c r="T161" t="n">
        <v>0</v>
      </c>
      <c r="U161" s="2" t="inlineStr"/>
    </row>
    <row r="162" ht="15" customHeight="1">
      <c r="A162" t="inlineStr">
        <is>
          <t>A 22665-2022</t>
        </is>
      </c>
      <c r="B162" t="inlineStr">
        <is>
          <t>avverkningsanmälan</t>
        </is>
      </c>
      <c r="C162" t="inlineStr">
        <is>
          <t>Föryngringsavverkning</t>
        </is>
      </c>
      <c r="D162" s="1" t="n">
        <v>44714</v>
      </c>
      <c r="E162" s="1" t="n">
        <v>46217</v>
      </c>
      <c r="F162" t="inlineStr">
        <is>
          <t>ÖREBRO LÄN</t>
        </is>
      </c>
      <c r="G162" t="inlineStr">
        <is>
          <t>ASKERSUND</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63941-2021</t>
        </is>
      </c>
      <c r="B163" t="inlineStr">
        <is>
          <t>avverkningsanmälan</t>
        </is>
      </c>
      <c r="C163" t="inlineStr">
        <is>
          <t>Föryngringsavverkning</t>
        </is>
      </c>
      <c r="D163" s="1" t="n">
        <v>44509</v>
      </c>
      <c r="E163" s="1" t="n">
        <v>46217</v>
      </c>
      <c r="F163" t="inlineStr">
        <is>
          <t>ÖREBRO LÄN</t>
        </is>
      </c>
      <c r="G163" t="inlineStr">
        <is>
          <t>ASKERSUND</t>
        </is>
      </c>
      <c r="H163" t="inlineStr">
        <is>
          <t>Sveaskog</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55053-2021</t>
        </is>
      </c>
      <c r="B164" t="inlineStr">
        <is>
          <t>avverkningsanmälan</t>
        </is>
      </c>
      <c r="C164" t="inlineStr">
        <is>
          <t>Avverkning för att bevara och utveckla /försöksver</t>
        </is>
      </c>
      <c r="D164" s="1" t="n">
        <v>44474</v>
      </c>
      <c r="E164" s="1" t="n">
        <v>46217</v>
      </c>
      <c r="F164" t="inlineStr">
        <is>
          <t>ÖREBRO LÄN</t>
        </is>
      </c>
      <c r="G164" t="inlineStr">
        <is>
          <t>ASKERSUND</t>
        </is>
      </c>
      <c r="H164" t="inlineStr">
        <is>
          <t>Sveaskog</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12289-2022</t>
        </is>
      </c>
      <c r="B165" t="inlineStr">
        <is>
          <t>avverkningsanmälan</t>
        </is>
      </c>
      <c r="C165" t="inlineStr">
        <is>
          <t>Föryngringsavverkning</t>
        </is>
      </c>
      <c r="D165" s="1" t="n">
        <v>44637</v>
      </c>
      <c r="E165" s="1" t="n">
        <v>46217</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12290-2022</t>
        </is>
      </c>
      <c r="B166" t="inlineStr">
        <is>
          <t>avverkningsanmälan</t>
        </is>
      </c>
      <c r="C166" t="inlineStr">
        <is>
          <t>Föryngringsavverkning</t>
        </is>
      </c>
      <c r="D166" s="1" t="n">
        <v>44637</v>
      </c>
      <c r="E166" s="1" t="n">
        <v>46217</v>
      </c>
      <c r="F166" t="inlineStr">
        <is>
          <t>ÖREBRO LÄN</t>
        </is>
      </c>
      <c r="G166" t="inlineStr">
        <is>
          <t>ASKERSUND</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57906-2021</t>
        </is>
      </c>
      <c r="B167" t="inlineStr">
        <is>
          <t>avverkningsanmälan</t>
        </is>
      </c>
      <c r="C167" t="inlineStr">
        <is>
          <t>Avverkning för annat ändamål</t>
        </is>
      </c>
      <c r="D167" s="1" t="n">
        <v>44486</v>
      </c>
      <c r="E167" s="1" t="n">
        <v>46217</v>
      </c>
      <c r="F167" t="inlineStr">
        <is>
          <t>ÖREBRO LÄN</t>
        </is>
      </c>
      <c r="G167" t="inlineStr">
        <is>
          <t>ASKERSUND</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41249-2021</t>
        </is>
      </c>
      <c r="B168" t="inlineStr">
        <is>
          <t>avverkningsanmälan</t>
        </is>
      </c>
      <c r="C168" t="inlineStr">
        <is>
          <t>Föryngringsavverkning</t>
        </is>
      </c>
      <c r="D168" s="1" t="n">
        <v>44424</v>
      </c>
      <c r="E168" s="1" t="n">
        <v>46217</v>
      </c>
      <c r="F168" t="inlineStr">
        <is>
          <t>ÖREBRO LÄN</t>
        </is>
      </c>
      <c r="G168" t="inlineStr">
        <is>
          <t>ASKERSUND</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51205-2021</t>
        </is>
      </c>
      <c r="B169" t="inlineStr">
        <is>
          <t>avverkningsanmälan</t>
        </is>
      </c>
      <c r="C169" t="inlineStr">
        <is>
          <t>Föryngringsavverkning</t>
        </is>
      </c>
      <c r="D169" s="1" t="n">
        <v>44461</v>
      </c>
      <c r="E169" s="1" t="n">
        <v>46217</v>
      </c>
      <c r="F169" t="inlineStr">
        <is>
          <t>ÖREBRO LÄN</t>
        </is>
      </c>
      <c r="G169" t="inlineStr">
        <is>
          <t>ASKERSUND</t>
        </is>
      </c>
      <c r="H169" t="inlineStr">
        <is>
          <t>Sveaskog</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34998-2022</t>
        </is>
      </c>
      <c r="B170" t="inlineStr">
        <is>
          <t>avverkningsanmälan</t>
        </is>
      </c>
      <c r="C170" t="inlineStr">
        <is>
          <t>Föryngringsavverkning</t>
        </is>
      </c>
      <c r="D170" s="1" t="n">
        <v>44796</v>
      </c>
      <c r="E170" s="1" t="n">
        <v>46217</v>
      </c>
      <c r="F170" t="inlineStr">
        <is>
          <t>ÖREBRO LÄN</t>
        </is>
      </c>
      <c r="G170" t="inlineStr">
        <is>
          <t>ASKERSUND</t>
        </is>
      </c>
      <c r="I170" t="n">
        <v>4.1</v>
      </c>
      <c r="J170" t="n">
        <v>0</v>
      </c>
      <c r="K170" t="n">
        <v>0</v>
      </c>
      <c r="L170" t="n">
        <v>0</v>
      </c>
      <c r="M170" t="n">
        <v>0</v>
      </c>
      <c r="N170" t="n">
        <v>0</v>
      </c>
      <c r="O170" t="n">
        <v>0</v>
      </c>
      <c r="P170" t="n">
        <v>0</v>
      </c>
      <c r="Q170" t="n">
        <v>0</v>
      </c>
      <c r="R170" t="n">
        <v>0</v>
      </c>
      <c r="S170" t="n">
        <v>0</v>
      </c>
      <c r="T170" t="n">
        <v>0</v>
      </c>
      <c r="U170" s="2" t="inlineStr"/>
    </row>
    <row r="171" ht="15" customHeight="1">
      <c r="A171" t="inlineStr">
        <is>
          <t>A 12730-2022</t>
        </is>
      </c>
      <c r="B171" t="inlineStr">
        <is>
          <t>avverkningsanmälan</t>
        </is>
      </c>
      <c r="C171" t="inlineStr">
        <is>
          <t>Föryngringsavverkning</t>
        </is>
      </c>
      <c r="D171" s="1" t="n">
        <v>44641</v>
      </c>
      <c r="E171" s="1" t="n">
        <v>46217</v>
      </c>
      <c r="F171" t="inlineStr">
        <is>
          <t>ÖREBRO LÄN</t>
        </is>
      </c>
      <c r="G171" t="inlineStr">
        <is>
          <t>ASKERSUND</t>
        </is>
      </c>
      <c r="H171" t="inlineStr">
        <is>
          <t>Sveaskog</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65000-2021</t>
        </is>
      </c>
      <c r="B172" t="inlineStr">
        <is>
          <t>avverkningsanmälan</t>
        </is>
      </c>
      <c r="C172" t="inlineStr">
        <is>
          <t>Föryngringsavverkning</t>
        </is>
      </c>
      <c r="D172" s="1" t="n">
        <v>44514</v>
      </c>
      <c r="E172" s="1" t="n">
        <v>46217</v>
      </c>
      <c r="F172" t="inlineStr">
        <is>
          <t>ÖREBRO LÄN</t>
        </is>
      </c>
      <c r="G172" t="inlineStr">
        <is>
          <t>ASKERSUND</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67275-2021</t>
        </is>
      </c>
      <c r="B173" t="inlineStr">
        <is>
          <t>avverkningsanmälan</t>
        </is>
      </c>
      <c r="C173" t="inlineStr">
        <is>
          <t>Föryngringsavverkning</t>
        </is>
      </c>
      <c r="D173" s="1" t="n">
        <v>44523</v>
      </c>
      <c r="E173" s="1" t="n">
        <v>46217</v>
      </c>
      <c r="F173" t="inlineStr">
        <is>
          <t>ÖREBRO LÄN</t>
        </is>
      </c>
      <c r="G173" t="inlineStr">
        <is>
          <t>ASKERSUND</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4786-2022</t>
        </is>
      </c>
      <c r="B174" t="inlineStr">
        <is>
          <t>avverkningsanmälan</t>
        </is>
      </c>
      <c r="C174" t="inlineStr">
        <is>
          <t>Föryngringsavverkning</t>
        </is>
      </c>
      <c r="D174" s="1" t="n">
        <v>44592</v>
      </c>
      <c r="E174" s="1" t="n">
        <v>46217</v>
      </c>
      <c r="F174" t="inlineStr">
        <is>
          <t>ÖREBRO LÄN</t>
        </is>
      </c>
      <c r="G174" t="inlineStr">
        <is>
          <t>ASKERSUND</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13997-2022</t>
        </is>
      </c>
      <c r="B175" t="inlineStr">
        <is>
          <t>avverkningsanmälan</t>
        </is>
      </c>
      <c r="C175" t="inlineStr">
        <is>
          <t>Föryngringsavverkning</t>
        </is>
      </c>
      <c r="D175" s="1" t="n">
        <v>44650</v>
      </c>
      <c r="E175" s="1" t="n">
        <v>46217</v>
      </c>
      <c r="F175" t="inlineStr">
        <is>
          <t>ÖREBRO LÄN</t>
        </is>
      </c>
      <c r="G175" t="inlineStr">
        <is>
          <t>ASKERSUND</t>
        </is>
      </c>
      <c r="I175" t="n">
        <v>4.9</v>
      </c>
      <c r="J175" t="n">
        <v>0</v>
      </c>
      <c r="K175" t="n">
        <v>0</v>
      </c>
      <c r="L175" t="n">
        <v>0</v>
      </c>
      <c r="M175" t="n">
        <v>0</v>
      </c>
      <c r="N175" t="n">
        <v>0</v>
      </c>
      <c r="O175" t="n">
        <v>0</v>
      </c>
      <c r="P175" t="n">
        <v>0</v>
      </c>
      <c r="Q175" t="n">
        <v>0</v>
      </c>
      <c r="R175" t="n">
        <v>0</v>
      </c>
      <c r="S175" t="n">
        <v>0</v>
      </c>
      <c r="T175" t="n">
        <v>0</v>
      </c>
      <c r="U175" s="2" t="inlineStr"/>
    </row>
    <row r="176" ht="15" customHeight="1">
      <c r="A176" t="inlineStr">
        <is>
          <t>A 36504-2021</t>
        </is>
      </c>
      <c r="B176" t="inlineStr">
        <is>
          <t>avverkningsanmälan</t>
        </is>
      </c>
      <c r="C176" t="inlineStr">
        <is>
          <t>Föryngringsavverkning</t>
        </is>
      </c>
      <c r="D176" s="1" t="n">
        <v>44391</v>
      </c>
      <c r="E176" s="1" t="n">
        <v>46217</v>
      </c>
      <c r="F176" t="inlineStr">
        <is>
          <t>ÖREBRO LÄN</t>
        </is>
      </c>
      <c r="G176" t="inlineStr">
        <is>
          <t>ASKERSUND</t>
        </is>
      </c>
      <c r="H176" t="inlineStr">
        <is>
          <t>Sveaskog</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43421-2021</t>
        </is>
      </c>
      <c r="B177" t="inlineStr">
        <is>
          <t>avverkningsanmälan</t>
        </is>
      </c>
      <c r="C177" t="inlineStr">
        <is>
          <t>Föryngringsavverkning</t>
        </is>
      </c>
      <c r="D177" s="1" t="n">
        <v>44432</v>
      </c>
      <c r="E177" s="1" t="n">
        <v>46217</v>
      </c>
      <c r="F177" t="inlineStr">
        <is>
          <t>ÖREBRO LÄN</t>
        </is>
      </c>
      <c r="G177" t="inlineStr">
        <is>
          <t>ASKERSUND</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60961-2021</t>
        </is>
      </c>
      <c r="B178" t="inlineStr">
        <is>
          <t>avverkningsanmälan</t>
        </is>
      </c>
      <c r="C178" t="inlineStr">
        <is>
          <t>Avverkning för annat ändamål</t>
        </is>
      </c>
      <c r="D178" s="1" t="n">
        <v>44497</v>
      </c>
      <c r="E178" s="1" t="n">
        <v>46217</v>
      </c>
      <c r="F178" t="inlineStr">
        <is>
          <t>ÖREBRO LÄN</t>
        </is>
      </c>
      <c r="G178" t="inlineStr">
        <is>
          <t>ASKERSUND</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39605-2021</t>
        </is>
      </c>
      <c r="B179" t="inlineStr">
        <is>
          <t>avverkningsanmälan</t>
        </is>
      </c>
      <c r="C179" t="inlineStr">
        <is>
          <t>Föryngringsavverkning</t>
        </is>
      </c>
      <c r="D179" s="1" t="n">
        <v>44413</v>
      </c>
      <c r="E179" s="1" t="n">
        <v>46217</v>
      </c>
      <c r="F179" t="inlineStr">
        <is>
          <t>ÖREBRO LÄN</t>
        </is>
      </c>
      <c r="G179" t="inlineStr">
        <is>
          <t>ASKERSUND</t>
        </is>
      </c>
      <c r="I179" t="n">
        <v>2.3</v>
      </c>
      <c r="J179" t="n">
        <v>0</v>
      </c>
      <c r="K179" t="n">
        <v>0</v>
      </c>
      <c r="L179" t="n">
        <v>0</v>
      </c>
      <c r="M179" t="n">
        <v>0</v>
      </c>
      <c r="N179" t="n">
        <v>0</v>
      </c>
      <c r="O179" t="n">
        <v>0</v>
      </c>
      <c r="P179" t="n">
        <v>0</v>
      </c>
      <c r="Q179" t="n">
        <v>0</v>
      </c>
      <c r="R179" t="n">
        <v>0</v>
      </c>
      <c r="S179" t="n">
        <v>0</v>
      </c>
      <c r="T179" t="n">
        <v>0</v>
      </c>
      <c r="U179" s="2" t="inlineStr"/>
    </row>
    <row r="180" ht="15" customHeight="1">
      <c r="A180" t="inlineStr">
        <is>
          <t>A 7077-2024</t>
        </is>
      </c>
      <c r="B180" t="inlineStr">
        <is>
          <t>avverkningsanmälan</t>
        </is>
      </c>
      <c r="C180" t="inlineStr">
        <is>
          <t>Föryngringsavverkning</t>
        </is>
      </c>
      <c r="D180" s="1" t="n">
        <v>45343</v>
      </c>
      <c r="E180" s="1" t="n">
        <v>46217</v>
      </c>
      <c r="F180" t="inlineStr">
        <is>
          <t>ÖREBRO LÄN</t>
        </is>
      </c>
      <c r="G180" t="inlineStr">
        <is>
          <t>ASKERSUND</t>
        </is>
      </c>
      <c r="I180" t="n">
        <v>3.3</v>
      </c>
      <c r="J180" t="n">
        <v>0</v>
      </c>
      <c r="K180" t="n">
        <v>0</v>
      </c>
      <c r="L180" t="n">
        <v>0</v>
      </c>
      <c r="M180" t="n">
        <v>0</v>
      </c>
      <c r="N180" t="n">
        <v>0</v>
      </c>
      <c r="O180" t="n">
        <v>0</v>
      </c>
      <c r="P180" t="n">
        <v>0</v>
      </c>
      <c r="Q180" t="n">
        <v>0</v>
      </c>
      <c r="R180" t="n">
        <v>0</v>
      </c>
      <c r="S180" t="n">
        <v>0</v>
      </c>
      <c r="T180" t="n">
        <v>0</v>
      </c>
      <c r="U180" s="2" t="inlineStr"/>
    </row>
    <row r="181" ht="15" customHeight="1">
      <c r="A181" t="inlineStr">
        <is>
          <t>A 18409-2023</t>
        </is>
      </c>
      <c r="B181" t="inlineStr">
        <is>
          <t>avverkningsanmälan</t>
        </is>
      </c>
      <c r="C181" t="inlineStr">
        <is>
          <t>Föryngringsavverkning</t>
        </is>
      </c>
      <c r="D181" s="1" t="n">
        <v>45042</v>
      </c>
      <c r="E181" s="1" t="n">
        <v>46217</v>
      </c>
      <c r="F181" t="inlineStr">
        <is>
          <t>ÖREBRO LÄN</t>
        </is>
      </c>
      <c r="G181" t="inlineStr">
        <is>
          <t>ASKERSUND</t>
        </is>
      </c>
      <c r="I181" t="n">
        <v>2.7</v>
      </c>
      <c r="J181" t="n">
        <v>0</v>
      </c>
      <c r="K181" t="n">
        <v>0</v>
      </c>
      <c r="L181" t="n">
        <v>0</v>
      </c>
      <c r="M181" t="n">
        <v>0</v>
      </c>
      <c r="N181" t="n">
        <v>0</v>
      </c>
      <c r="O181" t="n">
        <v>0</v>
      </c>
      <c r="P181" t="n">
        <v>0</v>
      </c>
      <c r="Q181" t="n">
        <v>0</v>
      </c>
      <c r="R181" t="n">
        <v>0</v>
      </c>
      <c r="S181" t="n">
        <v>0</v>
      </c>
      <c r="T181" t="n">
        <v>0</v>
      </c>
      <c r="U181" s="2" t="inlineStr"/>
    </row>
    <row r="182" ht="15" customHeight="1">
      <c r="A182" t="inlineStr">
        <is>
          <t>A 41094-2021</t>
        </is>
      </c>
      <c r="B182" t="inlineStr">
        <is>
          <t>avverkningsanmälan</t>
        </is>
      </c>
      <c r="C182" t="inlineStr">
        <is>
          <t>Föryngringsavverkning</t>
        </is>
      </c>
      <c r="D182" s="1" t="n">
        <v>44422</v>
      </c>
      <c r="E182" s="1" t="n">
        <v>46217</v>
      </c>
      <c r="F182" t="inlineStr">
        <is>
          <t>ÖREBRO LÄN</t>
        </is>
      </c>
      <c r="G182" t="inlineStr">
        <is>
          <t>ASKERSUND</t>
        </is>
      </c>
      <c r="H182" t="inlineStr">
        <is>
          <t>Sveaskog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41264-2023</t>
        </is>
      </c>
      <c r="B183" t="inlineStr">
        <is>
          <t>avverkningsanmälan</t>
        </is>
      </c>
      <c r="C183" t="inlineStr">
        <is>
          <t>Föryngringsavverkning</t>
        </is>
      </c>
      <c r="D183" s="1" t="n">
        <v>45170</v>
      </c>
      <c r="E183" s="1" t="n">
        <v>46217</v>
      </c>
      <c r="F183" t="inlineStr">
        <is>
          <t>ÖREBRO LÄN</t>
        </is>
      </c>
      <c r="G183" t="inlineStr">
        <is>
          <t>ASKERSUND</t>
        </is>
      </c>
      <c r="H183" t="inlineStr">
        <is>
          <t>Övriga Aktiebolag</t>
        </is>
      </c>
      <c r="I183" t="n">
        <v>2.1</v>
      </c>
      <c r="J183" t="n">
        <v>0</v>
      </c>
      <c r="K183" t="n">
        <v>0</v>
      </c>
      <c r="L183" t="n">
        <v>0</v>
      </c>
      <c r="M183" t="n">
        <v>0</v>
      </c>
      <c r="N183" t="n">
        <v>0</v>
      </c>
      <c r="O183" t="n">
        <v>0</v>
      </c>
      <c r="P183" t="n">
        <v>0</v>
      </c>
      <c r="Q183" t="n">
        <v>0</v>
      </c>
      <c r="R183" t="n">
        <v>0</v>
      </c>
      <c r="S183" t="n">
        <v>0</v>
      </c>
      <c r="T183" t="n">
        <v>0</v>
      </c>
      <c r="U183" s="2" t="inlineStr"/>
    </row>
    <row r="184" ht="15" customHeight="1">
      <c r="A184" t="inlineStr">
        <is>
          <t>A 49541-2023</t>
        </is>
      </c>
      <c r="B184" t="inlineStr">
        <is>
          <t>avverkningsanmälan</t>
        </is>
      </c>
      <c r="C184" t="inlineStr">
        <is>
          <t>Föryngringsavverkning</t>
        </is>
      </c>
      <c r="D184" s="1" t="n">
        <v>45211</v>
      </c>
      <c r="E184" s="1" t="n">
        <v>46217</v>
      </c>
      <c r="F184" t="inlineStr">
        <is>
          <t>ÖREBRO LÄN</t>
        </is>
      </c>
      <c r="G184" t="inlineStr">
        <is>
          <t>ASKERSUND</t>
        </is>
      </c>
      <c r="I184" t="n">
        <v>5.6</v>
      </c>
      <c r="J184" t="n">
        <v>0</v>
      </c>
      <c r="K184" t="n">
        <v>0</v>
      </c>
      <c r="L184" t="n">
        <v>0</v>
      </c>
      <c r="M184" t="n">
        <v>0</v>
      </c>
      <c r="N184" t="n">
        <v>0</v>
      </c>
      <c r="O184" t="n">
        <v>0</v>
      </c>
      <c r="P184" t="n">
        <v>0</v>
      </c>
      <c r="Q184" t="n">
        <v>0</v>
      </c>
      <c r="R184" t="n">
        <v>0</v>
      </c>
      <c r="S184" t="n">
        <v>0</v>
      </c>
      <c r="T184" t="n">
        <v>0</v>
      </c>
      <c r="U184" s="2" t="inlineStr"/>
    </row>
    <row r="185" ht="15" customHeight="1">
      <c r="A185" t="inlineStr">
        <is>
          <t>A 43933-2024</t>
        </is>
      </c>
      <c r="B185" t="inlineStr">
        <is>
          <t>avverkningsanmälan</t>
        </is>
      </c>
      <c r="C185" t="inlineStr">
        <is>
          <t>Föryngringsavverkning</t>
        </is>
      </c>
      <c r="D185" s="1" t="n">
        <v>45572</v>
      </c>
      <c r="E185" s="1" t="n">
        <v>46217</v>
      </c>
      <c r="F185" t="inlineStr">
        <is>
          <t>ÖREBRO LÄN</t>
        </is>
      </c>
      <c r="G185" t="inlineStr">
        <is>
          <t>ASKERSUND</t>
        </is>
      </c>
      <c r="H185" t="inlineStr">
        <is>
          <t>Sveaskog</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34139-2022</t>
        </is>
      </c>
      <c r="B186" t="inlineStr">
        <is>
          <t>avverkningsanmälan</t>
        </is>
      </c>
      <c r="C186" t="inlineStr">
        <is>
          <t>Föryngringsavverkning</t>
        </is>
      </c>
      <c r="D186" s="1" t="n">
        <v>44791</v>
      </c>
      <c r="E186" s="1" t="n">
        <v>46217</v>
      </c>
      <c r="F186" t="inlineStr">
        <is>
          <t>ÖREBRO LÄN</t>
        </is>
      </c>
      <c r="G186" t="inlineStr">
        <is>
          <t>ASKERSUND</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26662-2022</t>
        </is>
      </c>
      <c r="B187" t="inlineStr">
        <is>
          <t>avverkningsanmälan</t>
        </is>
      </c>
      <c r="C187" t="inlineStr">
        <is>
          <t>Föryngringsavverkning</t>
        </is>
      </c>
      <c r="D187" s="1" t="n">
        <v>44739</v>
      </c>
      <c r="E187" s="1" t="n">
        <v>46217</v>
      </c>
      <c r="F187" t="inlineStr">
        <is>
          <t>ÖREBRO LÄN</t>
        </is>
      </c>
      <c r="G187" t="inlineStr">
        <is>
          <t>ASKERSUND</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48612-2023</t>
        </is>
      </c>
      <c r="B188" t="inlineStr">
        <is>
          <t>avverkningsanmälan</t>
        </is>
      </c>
      <c r="C188" t="inlineStr">
        <is>
          <t>Föryngringsavverkning</t>
        </is>
      </c>
      <c r="D188" s="1" t="n">
        <v>45208</v>
      </c>
      <c r="E188" s="1" t="n">
        <v>46217</v>
      </c>
      <c r="F188" t="inlineStr">
        <is>
          <t>ÖREBRO LÄN</t>
        </is>
      </c>
      <c r="G188" t="inlineStr">
        <is>
          <t>ASKERSUND</t>
        </is>
      </c>
      <c r="H188" t="inlineStr">
        <is>
          <t>Sveaskog</t>
        </is>
      </c>
      <c r="I188" t="n">
        <v>3.4</v>
      </c>
      <c r="J188" t="n">
        <v>0</v>
      </c>
      <c r="K188" t="n">
        <v>0</v>
      </c>
      <c r="L188" t="n">
        <v>0</v>
      </c>
      <c r="M188" t="n">
        <v>0</v>
      </c>
      <c r="N188" t="n">
        <v>0</v>
      </c>
      <c r="O188" t="n">
        <v>0</v>
      </c>
      <c r="P188" t="n">
        <v>0</v>
      </c>
      <c r="Q188" t="n">
        <v>0</v>
      </c>
      <c r="R188" t="n">
        <v>0</v>
      </c>
      <c r="S188" t="n">
        <v>0</v>
      </c>
      <c r="T188" t="n">
        <v>0</v>
      </c>
      <c r="U188" s="2" t="inlineStr"/>
    </row>
    <row r="189" ht="15" customHeight="1">
      <c r="A189" t="inlineStr">
        <is>
          <t>A 55591-2023</t>
        </is>
      </c>
      <c r="B189" t="inlineStr">
        <is>
          <t>avverkningsanmälan</t>
        </is>
      </c>
      <c r="C189" t="inlineStr">
        <is>
          <t>Avverkning för annat ändamål</t>
        </is>
      </c>
      <c r="D189" s="1" t="n">
        <v>45238</v>
      </c>
      <c r="E189" s="1" t="n">
        <v>46217</v>
      </c>
      <c r="F189" t="inlineStr">
        <is>
          <t>ÖREBRO LÄN</t>
        </is>
      </c>
      <c r="G189" t="inlineStr">
        <is>
          <t>ASKERSUND</t>
        </is>
      </c>
      <c r="I189" t="n">
        <v>4</v>
      </c>
      <c r="J189" t="n">
        <v>0</v>
      </c>
      <c r="K189" t="n">
        <v>0</v>
      </c>
      <c r="L189" t="n">
        <v>0</v>
      </c>
      <c r="M189" t="n">
        <v>0</v>
      </c>
      <c r="N189" t="n">
        <v>0</v>
      </c>
      <c r="O189" t="n">
        <v>0</v>
      </c>
      <c r="P189" t="n">
        <v>0</v>
      </c>
      <c r="Q189" t="n">
        <v>0</v>
      </c>
      <c r="R189" t="n">
        <v>0</v>
      </c>
      <c r="S189" t="n">
        <v>0</v>
      </c>
      <c r="T189" t="n">
        <v>0</v>
      </c>
      <c r="U189" s="2" t="inlineStr"/>
    </row>
    <row r="190" ht="15" customHeight="1">
      <c r="A190" t="inlineStr">
        <is>
          <t>A 46630-2021</t>
        </is>
      </c>
      <c r="B190" t="inlineStr">
        <is>
          <t>avverkningsanmälan</t>
        </is>
      </c>
      <c r="C190" t="inlineStr">
        <is>
          <t>Föryngringsavverkning</t>
        </is>
      </c>
      <c r="D190" s="1" t="n">
        <v>44445</v>
      </c>
      <c r="E190" s="1" t="n">
        <v>46217</v>
      </c>
      <c r="F190" t="inlineStr">
        <is>
          <t>ÖREBRO LÄN</t>
        </is>
      </c>
      <c r="G190" t="inlineStr">
        <is>
          <t>ASKERSUND</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50857-2022</t>
        </is>
      </c>
      <c r="B191" t="inlineStr">
        <is>
          <t>avverkningsanmälan</t>
        </is>
      </c>
      <c r="C191" t="inlineStr">
        <is>
          <t>Föryngringsavverkning</t>
        </is>
      </c>
      <c r="D191" s="1" t="n">
        <v>44864</v>
      </c>
      <c r="E191" s="1" t="n">
        <v>46217</v>
      </c>
      <c r="F191" t="inlineStr">
        <is>
          <t>ÖREBRO LÄN</t>
        </is>
      </c>
      <c r="G191" t="inlineStr">
        <is>
          <t>ASKERSUND</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59530-2023</t>
        </is>
      </c>
      <c r="B192" t="inlineStr">
        <is>
          <t>avverkningsanmälan</t>
        </is>
      </c>
      <c r="C192" t="inlineStr">
        <is>
          <t>Föryngringsavverkning</t>
        </is>
      </c>
      <c r="D192" s="1" t="n">
        <v>45254</v>
      </c>
      <c r="E192" s="1" t="n">
        <v>46217</v>
      </c>
      <c r="F192" t="inlineStr">
        <is>
          <t>ÖREBRO LÄN</t>
        </is>
      </c>
      <c r="G192" t="inlineStr">
        <is>
          <t>ASKERSUND</t>
        </is>
      </c>
      <c r="I192" t="n">
        <v>6.5</v>
      </c>
      <c r="J192" t="n">
        <v>0</v>
      </c>
      <c r="K192" t="n">
        <v>0</v>
      </c>
      <c r="L192" t="n">
        <v>0</v>
      </c>
      <c r="M192" t="n">
        <v>0</v>
      </c>
      <c r="N192" t="n">
        <v>0</v>
      </c>
      <c r="O192" t="n">
        <v>0</v>
      </c>
      <c r="P192" t="n">
        <v>0</v>
      </c>
      <c r="Q192" t="n">
        <v>0</v>
      </c>
      <c r="R192" t="n">
        <v>0</v>
      </c>
      <c r="S192" t="n">
        <v>0</v>
      </c>
      <c r="T192" t="n">
        <v>0</v>
      </c>
      <c r="U192" s="2" t="inlineStr"/>
    </row>
    <row r="193" ht="15" customHeight="1">
      <c r="A193" t="inlineStr">
        <is>
          <t>A 11635-2024</t>
        </is>
      </c>
      <c r="B193" t="inlineStr">
        <is>
          <t>avverkningsanmälan</t>
        </is>
      </c>
      <c r="C193" t="inlineStr">
        <is>
          <t>Föryngringsavverkning</t>
        </is>
      </c>
      <c r="D193" s="1" t="n">
        <v>45373</v>
      </c>
      <c r="E193" s="1" t="n">
        <v>46217</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13893-2024</t>
        </is>
      </c>
      <c r="B194" t="inlineStr">
        <is>
          <t>avverkningsanmälan</t>
        </is>
      </c>
      <c r="C194" t="inlineStr">
        <is>
          <t>Föryngringsavverkning</t>
        </is>
      </c>
      <c r="D194" s="1" t="n">
        <v>45391</v>
      </c>
      <c r="E194" s="1" t="n">
        <v>46217</v>
      </c>
      <c r="F194" t="inlineStr">
        <is>
          <t>ÖREBRO LÄN</t>
        </is>
      </c>
      <c r="G194" t="inlineStr">
        <is>
          <t>ASKERSUND</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37605-2022</t>
        </is>
      </c>
      <c r="B195" t="inlineStr">
        <is>
          <t>avverkningsanmälan</t>
        </is>
      </c>
      <c r="C195" t="inlineStr">
        <is>
          <t>Föryngringsavverkning</t>
        </is>
      </c>
      <c r="D195" s="1" t="n">
        <v>44809</v>
      </c>
      <c r="E195" s="1" t="n">
        <v>46217</v>
      </c>
      <c r="F195" t="inlineStr">
        <is>
          <t>ÖREBRO LÄN</t>
        </is>
      </c>
      <c r="G195" t="inlineStr">
        <is>
          <t>ASKERSUND</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23514-2024</t>
        </is>
      </c>
      <c r="B196" t="inlineStr">
        <is>
          <t>avverkningsanmälan</t>
        </is>
      </c>
      <c r="C196" t="inlineStr">
        <is>
          <t>Föryngringsavverkning</t>
        </is>
      </c>
      <c r="D196" s="1" t="n">
        <v>45453</v>
      </c>
      <c r="E196" s="1" t="n">
        <v>46217</v>
      </c>
      <c r="F196" t="inlineStr">
        <is>
          <t>ÖREBRO LÄN</t>
        </is>
      </c>
      <c r="G196" t="inlineStr">
        <is>
          <t>ASKERSUND</t>
        </is>
      </c>
      <c r="H196" t="inlineStr">
        <is>
          <t>Sveaskog</t>
        </is>
      </c>
      <c r="I196" t="n">
        <v>4.2</v>
      </c>
      <c r="J196" t="n">
        <v>0</v>
      </c>
      <c r="K196" t="n">
        <v>0</v>
      </c>
      <c r="L196" t="n">
        <v>0</v>
      </c>
      <c r="M196" t="n">
        <v>0</v>
      </c>
      <c r="N196" t="n">
        <v>0</v>
      </c>
      <c r="O196" t="n">
        <v>0</v>
      </c>
      <c r="P196" t="n">
        <v>0</v>
      </c>
      <c r="Q196" t="n">
        <v>0</v>
      </c>
      <c r="R196" t="n">
        <v>0</v>
      </c>
      <c r="S196" t="n">
        <v>0</v>
      </c>
      <c r="T196" t="n">
        <v>0</v>
      </c>
      <c r="U196" s="2" t="inlineStr"/>
    </row>
    <row r="197" ht="15" customHeight="1">
      <c r="A197" t="inlineStr">
        <is>
          <t>A 26412-2024</t>
        </is>
      </c>
      <c r="B197" t="inlineStr">
        <is>
          <t>avverkningsanmälan</t>
        </is>
      </c>
      <c r="C197" t="inlineStr">
        <is>
          <t>Föryngringsavverkning</t>
        </is>
      </c>
      <c r="D197" s="1" t="n">
        <v>45469</v>
      </c>
      <c r="E197" s="1" t="n">
        <v>46217</v>
      </c>
      <c r="F197" t="inlineStr">
        <is>
          <t>ÖREBRO LÄN</t>
        </is>
      </c>
      <c r="G197" t="inlineStr">
        <is>
          <t>ASKERSUND</t>
        </is>
      </c>
      <c r="I197" t="n">
        <v>2.7</v>
      </c>
      <c r="J197" t="n">
        <v>0</v>
      </c>
      <c r="K197" t="n">
        <v>0</v>
      </c>
      <c r="L197" t="n">
        <v>0</v>
      </c>
      <c r="M197" t="n">
        <v>0</v>
      </c>
      <c r="N197" t="n">
        <v>0</v>
      </c>
      <c r="O197" t="n">
        <v>0</v>
      </c>
      <c r="P197" t="n">
        <v>0</v>
      </c>
      <c r="Q197" t="n">
        <v>0</v>
      </c>
      <c r="R197" t="n">
        <v>0</v>
      </c>
      <c r="S197" t="n">
        <v>0</v>
      </c>
      <c r="T197" t="n">
        <v>0</v>
      </c>
      <c r="U197" s="2" t="inlineStr"/>
    </row>
    <row r="198" ht="15" customHeight="1">
      <c r="A198" t="inlineStr">
        <is>
          <t>A 23914-2024</t>
        </is>
      </c>
      <c r="B198" t="inlineStr">
        <is>
          <t>avverkningsanmälan</t>
        </is>
      </c>
      <c r="C198" t="inlineStr">
        <is>
          <t>Föryngringsavverkning</t>
        </is>
      </c>
      <c r="D198" s="1" t="n">
        <v>45455</v>
      </c>
      <c r="E198" s="1" t="n">
        <v>46217</v>
      </c>
      <c r="F198" t="inlineStr">
        <is>
          <t>ÖREBRO LÄN</t>
        </is>
      </c>
      <c r="G198" t="inlineStr">
        <is>
          <t>ASKERSUND</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60965-2021</t>
        </is>
      </c>
      <c r="B199" t="inlineStr">
        <is>
          <t>avverkningsanmälan</t>
        </is>
      </c>
      <c r="C199" t="inlineStr">
        <is>
          <t>Avverkning för annat ändamål</t>
        </is>
      </c>
      <c r="D199" s="1" t="n">
        <v>44497</v>
      </c>
      <c r="E199" s="1" t="n">
        <v>46217</v>
      </c>
      <c r="F199" t="inlineStr">
        <is>
          <t>ÖREBRO LÄN</t>
        </is>
      </c>
      <c r="G199" t="inlineStr">
        <is>
          <t>ASKERSUND</t>
        </is>
      </c>
      <c r="I199" t="n">
        <v>0</v>
      </c>
      <c r="J199" t="n">
        <v>0</v>
      </c>
      <c r="K199" t="n">
        <v>0</v>
      </c>
      <c r="L199" t="n">
        <v>0</v>
      </c>
      <c r="M199" t="n">
        <v>0</v>
      </c>
      <c r="N199" t="n">
        <v>0</v>
      </c>
      <c r="O199" t="n">
        <v>0</v>
      </c>
      <c r="P199" t="n">
        <v>0</v>
      </c>
      <c r="Q199" t="n">
        <v>0</v>
      </c>
      <c r="R199" t="n">
        <v>0</v>
      </c>
      <c r="S199" t="n">
        <v>0</v>
      </c>
      <c r="T199" t="n">
        <v>0</v>
      </c>
      <c r="U199" s="2" t="inlineStr"/>
    </row>
    <row r="200" ht="15" customHeight="1">
      <c r="A200" t="inlineStr">
        <is>
          <t>A 4779-2023</t>
        </is>
      </c>
      <c r="B200" t="inlineStr">
        <is>
          <t>avverkningsanmälan</t>
        </is>
      </c>
      <c r="C200" t="inlineStr">
        <is>
          <t>Föryngringsavverkning</t>
        </is>
      </c>
      <c r="D200" s="1" t="n">
        <v>44957</v>
      </c>
      <c r="E200" s="1" t="n">
        <v>46217</v>
      </c>
      <c r="F200" t="inlineStr">
        <is>
          <t>ÖREBRO LÄN</t>
        </is>
      </c>
      <c r="G200" t="inlineStr">
        <is>
          <t>ASKERSUND</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29116-2024</t>
        </is>
      </c>
      <c r="B201" t="inlineStr">
        <is>
          <t>avverkningsanmälan</t>
        </is>
      </c>
      <c r="C201" t="inlineStr">
        <is>
          <t>Föryngringsavverkning</t>
        </is>
      </c>
      <c r="D201" s="1" t="n">
        <v>45481</v>
      </c>
      <c r="E201" s="1" t="n">
        <v>46217</v>
      </c>
      <c r="F201" t="inlineStr">
        <is>
          <t>ÖREBRO LÄN</t>
        </is>
      </c>
      <c r="G201" t="inlineStr">
        <is>
          <t>ASKERSUND</t>
        </is>
      </c>
      <c r="H201" t="inlineStr">
        <is>
          <t>Sveaskog</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42198-2021</t>
        </is>
      </c>
      <c r="B202" t="inlineStr">
        <is>
          <t>avverkningsanmälan</t>
        </is>
      </c>
      <c r="C202" t="inlineStr">
        <is>
          <t>Föryngringsavverkning</t>
        </is>
      </c>
      <c r="D202" s="1" t="n">
        <v>44426</v>
      </c>
      <c r="E202" s="1" t="n">
        <v>46217</v>
      </c>
      <c r="F202" t="inlineStr">
        <is>
          <t>ÖREBRO LÄN</t>
        </is>
      </c>
      <c r="G202" t="inlineStr">
        <is>
          <t>ASKERSUND</t>
        </is>
      </c>
      <c r="H202" t="inlineStr">
        <is>
          <t>Sveaskog</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44976-2021</t>
        </is>
      </c>
      <c r="B203" t="inlineStr">
        <is>
          <t>avverkningsanmälan</t>
        </is>
      </c>
      <c r="C203" t="inlineStr">
        <is>
          <t>Föryngringsavverkning</t>
        </is>
      </c>
      <c r="D203" s="1" t="n">
        <v>44438</v>
      </c>
      <c r="E203" s="1" t="n">
        <v>46217</v>
      </c>
      <c r="F203" t="inlineStr">
        <is>
          <t>ÖREBRO LÄN</t>
        </is>
      </c>
      <c r="G203" t="inlineStr">
        <is>
          <t>ASKERSUND</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41762-2021</t>
        </is>
      </c>
      <c r="B204" t="inlineStr">
        <is>
          <t>avverkningsanmälan</t>
        </is>
      </c>
      <c r="C204" t="inlineStr">
        <is>
          <t>Föryngringsavverkning</t>
        </is>
      </c>
      <c r="D204" s="1" t="n">
        <v>44425</v>
      </c>
      <c r="E204" s="1" t="n">
        <v>46217</v>
      </c>
      <c r="F204" t="inlineStr">
        <is>
          <t>ÖREBRO LÄN</t>
        </is>
      </c>
      <c r="G204" t="inlineStr">
        <is>
          <t>ASKERSUND</t>
        </is>
      </c>
      <c r="I204" t="n">
        <v>3.5</v>
      </c>
      <c r="J204" t="n">
        <v>0</v>
      </c>
      <c r="K204" t="n">
        <v>0</v>
      </c>
      <c r="L204" t="n">
        <v>0</v>
      </c>
      <c r="M204" t="n">
        <v>0</v>
      </c>
      <c r="N204" t="n">
        <v>0</v>
      </c>
      <c r="O204" t="n">
        <v>0</v>
      </c>
      <c r="P204" t="n">
        <v>0</v>
      </c>
      <c r="Q204" t="n">
        <v>0</v>
      </c>
      <c r="R204" t="n">
        <v>0</v>
      </c>
      <c r="S204" t="n">
        <v>0</v>
      </c>
      <c r="T204" t="n">
        <v>0</v>
      </c>
      <c r="U204" s="2" t="inlineStr"/>
    </row>
    <row r="205" ht="15" customHeight="1">
      <c r="A205" t="inlineStr">
        <is>
          <t>A 36031-2024</t>
        </is>
      </c>
      <c r="B205" t="inlineStr">
        <is>
          <t>avverkningsanmälan</t>
        </is>
      </c>
      <c r="C205" t="inlineStr">
        <is>
          <t>Avverkning för att bevara och utveckla /försöksver</t>
        </is>
      </c>
      <c r="D205" s="1" t="n">
        <v>45533</v>
      </c>
      <c r="E205" s="1" t="n">
        <v>46217</v>
      </c>
      <c r="F205" t="inlineStr">
        <is>
          <t>ÖREBRO LÄN</t>
        </is>
      </c>
      <c r="G205" t="inlineStr">
        <is>
          <t>ASKERSUND</t>
        </is>
      </c>
      <c r="H205" t="inlineStr">
        <is>
          <t>Sveaskog</t>
        </is>
      </c>
      <c r="I205" t="n">
        <v>3.1</v>
      </c>
      <c r="J205" t="n">
        <v>0</v>
      </c>
      <c r="K205" t="n">
        <v>0</v>
      </c>
      <c r="L205" t="n">
        <v>0</v>
      </c>
      <c r="M205" t="n">
        <v>0</v>
      </c>
      <c r="N205" t="n">
        <v>0</v>
      </c>
      <c r="O205" t="n">
        <v>0</v>
      </c>
      <c r="P205" t="n">
        <v>0</v>
      </c>
      <c r="Q205" t="n">
        <v>0</v>
      </c>
      <c r="R205" t="n">
        <v>0</v>
      </c>
      <c r="S205" t="n">
        <v>0</v>
      </c>
      <c r="T205" t="n">
        <v>0</v>
      </c>
      <c r="U205" s="2" t="inlineStr"/>
    </row>
    <row r="206" ht="15" customHeight="1">
      <c r="A206" t="inlineStr">
        <is>
          <t>A 3675-2023</t>
        </is>
      </c>
      <c r="B206" t="inlineStr">
        <is>
          <t>avverkningsanmälan</t>
        </is>
      </c>
      <c r="C206" t="inlineStr">
        <is>
          <t>Föryngringsavverkning</t>
        </is>
      </c>
      <c r="D206" s="1" t="n">
        <v>44950</v>
      </c>
      <c r="E206" s="1" t="n">
        <v>46217</v>
      </c>
      <c r="F206" t="inlineStr">
        <is>
          <t>ÖREBRO LÄN</t>
        </is>
      </c>
      <c r="G206" t="inlineStr">
        <is>
          <t>ASKERSUND</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3680-2023</t>
        </is>
      </c>
      <c r="B207" t="inlineStr">
        <is>
          <t>avverkningsanmälan</t>
        </is>
      </c>
      <c r="C207" t="inlineStr">
        <is>
          <t>Föryngringsavverkning</t>
        </is>
      </c>
      <c r="D207" s="1" t="n">
        <v>44950</v>
      </c>
      <c r="E207" s="1" t="n">
        <v>46217</v>
      </c>
      <c r="F207" t="inlineStr">
        <is>
          <t>ÖREBRO LÄN</t>
        </is>
      </c>
      <c r="G207" t="inlineStr">
        <is>
          <t>ASKERSUND</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29522-2024</t>
        </is>
      </c>
      <c r="B208" t="inlineStr">
        <is>
          <t>avverkningsanmälan</t>
        </is>
      </c>
      <c r="C208" t="inlineStr">
        <is>
          <t>Föryngringsavverkning</t>
        </is>
      </c>
      <c r="D208" s="1" t="n">
        <v>45484</v>
      </c>
      <c r="E208" s="1" t="n">
        <v>46217</v>
      </c>
      <c r="F208" t="inlineStr">
        <is>
          <t>ÖREBRO LÄN</t>
        </is>
      </c>
      <c r="G208" t="inlineStr">
        <is>
          <t>ASKERSUND</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48458-2021</t>
        </is>
      </c>
      <c r="B209" t="inlineStr">
        <is>
          <t>avverkningsanmälan</t>
        </is>
      </c>
      <c r="C209" t="inlineStr">
        <is>
          <t>Föryngringsavverkning</t>
        </is>
      </c>
      <c r="D209" s="1" t="n">
        <v>44452</v>
      </c>
      <c r="E209" s="1" t="n">
        <v>46217</v>
      </c>
      <c r="F209" t="inlineStr">
        <is>
          <t>ÖREBRO LÄN</t>
        </is>
      </c>
      <c r="G209" t="inlineStr">
        <is>
          <t>ASKERSUND</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54649-2023</t>
        </is>
      </c>
      <c r="B210" t="inlineStr">
        <is>
          <t>avverkningsanmälan</t>
        </is>
      </c>
      <c r="C210" t="inlineStr">
        <is>
          <t>Föryngringsavverkning</t>
        </is>
      </c>
      <c r="D210" s="1" t="n">
        <v>45235</v>
      </c>
      <c r="E210" s="1" t="n">
        <v>46217</v>
      </c>
      <c r="F210" t="inlineStr">
        <is>
          <t>ÖREBRO LÄN</t>
        </is>
      </c>
      <c r="G210" t="inlineStr">
        <is>
          <t>ASKERSUND</t>
        </is>
      </c>
      <c r="H210" t="inlineStr">
        <is>
          <t>Sveaskog</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18981-2024</t>
        </is>
      </c>
      <c r="B211" t="inlineStr">
        <is>
          <t>avverkningsanmälan</t>
        </is>
      </c>
      <c r="C211" t="inlineStr">
        <is>
          <t>Föryngringsavverkning</t>
        </is>
      </c>
      <c r="D211" s="1" t="n">
        <v>45427</v>
      </c>
      <c r="E211" s="1" t="n">
        <v>46217</v>
      </c>
      <c r="F211" t="inlineStr">
        <is>
          <t>ÖREBRO LÄN</t>
        </is>
      </c>
      <c r="G211" t="inlineStr">
        <is>
          <t>ASKERSUND</t>
        </is>
      </c>
      <c r="H211" t="inlineStr">
        <is>
          <t>Sveaskog</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47202-2024</t>
        </is>
      </c>
      <c r="B212" t="inlineStr">
        <is>
          <t>avverkningsanmälan</t>
        </is>
      </c>
      <c r="C212" t="inlineStr">
        <is>
          <t>Föryngringsavverkning</t>
        </is>
      </c>
      <c r="D212" s="1" t="n">
        <v>45586</v>
      </c>
      <c r="E212" s="1" t="n">
        <v>46217</v>
      </c>
      <c r="F212" t="inlineStr">
        <is>
          <t>ÖREBRO LÄN</t>
        </is>
      </c>
      <c r="G212" t="inlineStr">
        <is>
          <t>ASKERSUND</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29131-2024</t>
        </is>
      </c>
      <c r="B213" t="inlineStr">
        <is>
          <t>avverkningsanmälan</t>
        </is>
      </c>
      <c r="C213" t="inlineStr">
        <is>
          <t>Föryngringsavverkning</t>
        </is>
      </c>
      <c r="D213" s="1" t="n">
        <v>45481</v>
      </c>
      <c r="E213" s="1" t="n">
        <v>46217</v>
      </c>
      <c r="F213" t="inlineStr">
        <is>
          <t>ÖREBRO LÄN</t>
        </is>
      </c>
      <c r="G213" t="inlineStr">
        <is>
          <t>ASKERSUND</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61189-2022</t>
        </is>
      </c>
      <c r="B214" t="inlineStr">
        <is>
          <t>avverkningsanmälan</t>
        </is>
      </c>
      <c r="C214" t="inlineStr">
        <is>
          <t>Föryngringsavverkning</t>
        </is>
      </c>
      <c r="D214" s="1" t="n">
        <v>44915</v>
      </c>
      <c r="E214" s="1" t="n">
        <v>46217</v>
      </c>
      <c r="F214" t="inlineStr">
        <is>
          <t>ÖREBRO LÄN</t>
        </is>
      </c>
      <c r="G214" t="inlineStr">
        <is>
          <t>ASKERSUND</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12895-2022</t>
        </is>
      </c>
      <c r="B215" t="inlineStr">
        <is>
          <t>avverkningsanmälan</t>
        </is>
      </c>
      <c r="C215" t="inlineStr">
        <is>
          <t>Föryngringsavverkning</t>
        </is>
      </c>
      <c r="D215" s="1" t="n">
        <v>44642</v>
      </c>
      <c r="E215" s="1" t="n">
        <v>46217</v>
      </c>
      <c r="F215" t="inlineStr">
        <is>
          <t>ÖREBRO LÄN</t>
        </is>
      </c>
      <c r="G215" t="inlineStr">
        <is>
          <t>ASKERSUND</t>
        </is>
      </c>
      <c r="I215" t="n">
        <v>3.3</v>
      </c>
      <c r="J215" t="n">
        <v>0</v>
      </c>
      <c r="K215" t="n">
        <v>0</v>
      </c>
      <c r="L215" t="n">
        <v>0</v>
      </c>
      <c r="M215" t="n">
        <v>0</v>
      </c>
      <c r="N215" t="n">
        <v>0</v>
      </c>
      <c r="O215" t="n">
        <v>0</v>
      </c>
      <c r="P215" t="n">
        <v>0</v>
      </c>
      <c r="Q215" t="n">
        <v>0</v>
      </c>
      <c r="R215" t="n">
        <v>0</v>
      </c>
      <c r="S215" t="n">
        <v>0</v>
      </c>
      <c r="T215" t="n">
        <v>0</v>
      </c>
      <c r="U215" s="2" t="inlineStr"/>
    </row>
    <row r="216" ht="15" customHeight="1">
      <c r="A216" t="inlineStr">
        <is>
          <t>A 12418-2023</t>
        </is>
      </c>
      <c r="B216" t="inlineStr">
        <is>
          <t>avverkningsanmälan</t>
        </is>
      </c>
      <c r="C216" t="inlineStr">
        <is>
          <t>Föryngringsavverkning</t>
        </is>
      </c>
      <c r="D216" s="1" t="n">
        <v>44999</v>
      </c>
      <c r="E216" s="1" t="n">
        <v>46217</v>
      </c>
      <c r="F216" t="inlineStr">
        <is>
          <t>ÖREBRO LÄN</t>
        </is>
      </c>
      <c r="G216" t="inlineStr">
        <is>
          <t>ASKERSUND</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12423-2023</t>
        </is>
      </c>
      <c r="B217" t="inlineStr">
        <is>
          <t>avverkningsanmälan</t>
        </is>
      </c>
      <c r="C217" t="inlineStr">
        <is>
          <t>Föryngringsavverkning</t>
        </is>
      </c>
      <c r="D217" s="1" t="n">
        <v>44999</v>
      </c>
      <c r="E217" s="1" t="n">
        <v>46217</v>
      </c>
      <c r="F217" t="inlineStr">
        <is>
          <t>ÖREBRO LÄN</t>
        </is>
      </c>
      <c r="G217" t="inlineStr">
        <is>
          <t>ASKERSUND</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73579-2021</t>
        </is>
      </c>
      <c r="B218" t="inlineStr">
        <is>
          <t>avverkningsanmälan</t>
        </is>
      </c>
      <c r="C218" t="inlineStr">
        <is>
          <t>Föryngringsavverkning</t>
        </is>
      </c>
      <c r="D218" s="1" t="n">
        <v>44552</v>
      </c>
      <c r="E218" s="1" t="n">
        <v>46217</v>
      </c>
      <c r="F218" t="inlineStr">
        <is>
          <t>ÖREBRO LÄN</t>
        </is>
      </c>
      <c r="G218" t="inlineStr">
        <is>
          <t>ASKERSUND</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11969-2023</t>
        </is>
      </c>
      <c r="B219" t="inlineStr">
        <is>
          <t>avverkningsanmälan</t>
        </is>
      </c>
      <c r="C219" t="inlineStr">
        <is>
          <t>Föryngringsavverkning</t>
        </is>
      </c>
      <c r="D219" s="1" t="n">
        <v>44995</v>
      </c>
      <c r="E219" s="1" t="n">
        <v>46217</v>
      </c>
      <c r="F219" t="inlineStr">
        <is>
          <t>ÖREBRO LÄN</t>
        </is>
      </c>
      <c r="G219" t="inlineStr">
        <is>
          <t>ASKERSUND</t>
        </is>
      </c>
      <c r="H219" t="inlineStr">
        <is>
          <t>Sveaskog</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28555-2023</t>
        </is>
      </c>
      <c r="B220" t="inlineStr">
        <is>
          <t>avverkningsanmälan</t>
        </is>
      </c>
      <c r="C220" t="inlineStr">
        <is>
          <t>Föryngringsavverkning</t>
        </is>
      </c>
      <c r="D220" s="1" t="n">
        <v>45103</v>
      </c>
      <c r="E220" s="1" t="n">
        <v>46217</v>
      </c>
      <c r="F220" t="inlineStr">
        <is>
          <t>ÖREBRO LÄN</t>
        </is>
      </c>
      <c r="G220" t="inlineStr">
        <is>
          <t>ASKERSUND</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7544-2024</t>
        </is>
      </c>
      <c r="B221" t="inlineStr">
        <is>
          <t>avverkningsanmälan</t>
        </is>
      </c>
      <c r="C221" t="inlineStr">
        <is>
          <t>Föryngringsavverkning</t>
        </is>
      </c>
      <c r="D221" s="1" t="n">
        <v>45348</v>
      </c>
      <c r="E221" s="1" t="n">
        <v>46217</v>
      </c>
      <c r="F221" t="inlineStr">
        <is>
          <t>ÖREBRO LÄN</t>
        </is>
      </c>
      <c r="G221" t="inlineStr">
        <is>
          <t>ASKERSUND</t>
        </is>
      </c>
      <c r="I221" t="n">
        <v>2.6</v>
      </c>
      <c r="J221" t="n">
        <v>0</v>
      </c>
      <c r="K221" t="n">
        <v>0</v>
      </c>
      <c r="L221" t="n">
        <v>0</v>
      </c>
      <c r="M221" t="n">
        <v>0</v>
      </c>
      <c r="N221" t="n">
        <v>0</v>
      </c>
      <c r="O221" t="n">
        <v>0</v>
      </c>
      <c r="P221" t="n">
        <v>0</v>
      </c>
      <c r="Q221" t="n">
        <v>0</v>
      </c>
      <c r="R221" t="n">
        <v>0</v>
      </c>
      <c r="S221" t="n">
        <v>0</v>
      </c>
      <c r="T221" t="n">
        <v>0</v>
      </c>
      <c r="U221" s="2" t="inlineStr"/>
    </row>
    <row r="222" ht="15" customHeight="1">
      <c r="A222" t="inlineStr">
        <is>
          <t>A 9169-2022</t>
        </is>
      </c>
      <c r="B222" t="inlineStr">
        <is>
          <t>avverkningsanmälan</t>
        </is>
      </c>
      <c r="C222" t="inlineStr">
        <is>
          <t>Föryngringsavverkning</t>
        </is>
      </c>
      <c r="D222" s="1" t="n">
        <v>44615</v>
      </c>
      <c r="E222" s="1" t="n">
        <v>46217</v>
      </c>
      <c r="F222" t="inlineStr">
        <is>
          <t>ÖREBRO LÄN</t>
        </is>
      </c>
      <c r="G222" t="inlineStr">
        <is>
          <t>ASKERSUND</t>
        </is>
      </c>
      <c r="I222" t="n">
        <v>4.3</v>
      </c>
      <c r="J222" t="n">
        <v>0</v>
      </c>
      <c r="K222" t="n">
        <v>0</v>
      </c>
      <c r="L222" t="n">
        <v>0</v>
      </c>
      <c r="M222" t="n">
        <v>0</v>
      </c>
      <c r="N222" t="n">
        <v>0</v>
      </c>
      <c r="O222" t="n">
        <v>0</v>
      </c>
      <c r="P222" t="n">
        <v>0</v>
      </c>
      <c r="Q222" t="n">
        <v>0</v>
      </c>
      <c r="R222" t="n">
        <v>0</v>
      </c>
      <c r="S222" t="n">
        <v>0</v>
      </c>
      <c r="T222" t="n">
        <v>0</v>
      </c>
      <c r="U222" s="2" t="inlineStr"/>
    </row>
    <row r="223" ht="15" customHeight="1">
      <c r="A223" t="inlineStr">
        <is>
          <t>A 33660-2023</t>
        </is>
      </c>
      <c r="B223" t="inlineStr">
        <is>
          <t>avverkningsanmälan</t>
        </is>
      </c>
      <c r="C223" t="inlineStr">
        <is>
          <t>Föryngringsavverkning</t>
        </is>
      </c>
      <c r="D223" s="1" t="n">
        <v>45132</v>
      </c>
      <c r="E223" s="1" t="n">
        <v>46217</v>
      </c>
      <c r="F223" t="inlineStr">
        <is>
          <t>ÖREBRO LÄN</t>
        </is>
      </c>
      <c r="G223" t="inlineStr">
        <is>
          <t>ASKERSUND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642-2022</t>
        </is>
      </c>
      <c r="B224" t="inlineStr">
        <is>
          <t>avverkningsanmälan</t>
        </is>
      </c>
      <c r="C224" t="inlineStr">
        <is>
          <t>Föryngringsavverkning</t>
        </is>
      </c>
      <c r="D224" s="1" t="n">
        <v>44568</v>
      </c>
      <c r="E224" s="1" t="n">
        <v>46217</v>
      </c>
      <c r="F224" t="inlineStr">
        <is>
          <t>ÖREBRO LÄN</t>
        </is>
      </c>
      <c r="G224" t="inlineStr">
        <is>
          <t>ASKERSUND</t>
        </is>
      </c>
      <c r="H224" t="inlineStr">
        <is>
          <t>Sveaskog</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32040-2024</t>
        </is>
      </c>
      <c r="B225" t="inlineStr">
        <is>
          <t>avverkningsanmälan</t>
        </is>
      </c>
      <c r="C225" t="inlineStr">
        <is>
          <t>Föryngringsavverkning</t>
        </is>
      </c>
      <c r="D225" s="1" t="n">
        <v>45510</v>
      </c>
      <c r="E225" s="1" t="n">
        <v>46217</v>
      </c>
      <c r="F225" t="inlineStr">
        <is>
          <t>ÖREBRO LÄN</t>
        </is>
      </c>
      <c r="G225" t="inlineStr">
        <is>
          <t>ASKERSUND</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3679-2023</t>
        </is>
      </c>
      <c r="B226" t="inlineStr">
        <is>
          <t>avverkningsanmälan</t>
        </is>
      </c>
      <c r="C226" t="inlineStr">
        <is>
          <t>Föryngringsavverkning</t>
        </is>
      </c>
      <c r="D226" s="1" t="n">
        <v>44950</v>
      </c>
      <c r="E226" s="1" t="n">
        <v>46217</v>
      </c>
      <c r="F226" t="inlineStr">
        <is>
          <t>ÖREBRO LÄN</t>
        </is>
      </c>
      <c r="G226" t="inlineStr">
        <is>
          <t>ASKERSUND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16952-2022</t>
        </is>
      </c>
      <c r="B227" t="inlineStr">
        <is>
          <t>avverkningsanmälan</t>
        </is>
      </c>
      <c r="C227" t="inlineStr">
        <is>
          <t>Föryngringsavverkning</t>
        </is>
      </c>
      <c r="D227" s="1" t="n">
        <v>44676</v>
      </c>
      <c r="E227" s="1" t="n">
        <v>46217</v>
      </c>
      <c r="F227" t="inlineStr">
        <is>
          <t>ÖREBRO LÄN</t>
        </is>
      </c>
      <c r="G227" t="inlineStr">
        <is>
          <t>ASKERSUND</t>
        </is>
      </c>
      <c r="I227" t="n">
        <v>3.6</v>
      </c>
      <c r="J227" t="n">
        <v>0</v>
      </c>
      <c r="K227" t="n">
        <v>0</v>
      </c>
      <c r="L227" t="n">
        <v>0</v>
      </c>
      <c r="M227" t="n">
        <v>0</v>
      </c>
      <c r="N227" t="n">
        <v>0</v>
      </c>
      <c r="O227" t="n">
        <v>0</v>
      </c>
      <c r="P227" t="n">
        <v>0</v>
      </c>
      <c r="Q227" t="n">
        <v>0</v>
      </c>
      <c r="R227" t="n">
        <v>0</v>
      </c>
      <c r="S227" t="n">
        <v>0</v>
      </c>
      <c r="T227" t="n">
        <v>0</v>
      </c>
      <c r="U227" s="2" t="inlineStr"/>
    </row>
    <row r="228" ht="15" customHeight="1">
      <c r="A228" t="inlineStr">
        <is>
          <t>A 5050-2022</t>
        </is>
      </c>
      <c r="B228" t="inlineStr">
        <is>
          <t>avverkningsanmälan</t>
        </is>
      </c>
      <c r="C228" t="inlineStr">
        <is>
          <t>Föryngringsavverkning</t>
        </is>
      </c>
      <c r="D228" s="1" t="n">
        <v>44593</v>
      </c>
      <c r="E228" s="1" t="n">
        <v>46217</v>
      </c>
      <c r="F228" t="inlineStr">
        <is>
          <t>ÖREBRO LÄN</t>
        </is>
      </c>
      <c r="G228" t="inlineStr">
        <is>
          <t>ASKERSUND</t>
        </is>
      </c>
      <c r="H228" t="inlineStr">
        <is>
          <t>Allmännings- och besparingsskogar</t>
        </is>
      </c>
      <c r="I228" t="n">
        <v>2.9</v>
      </c>
      <c r="J228" t="n">
        <v>0</v>
      </c>
      <c r="K228" t="n">
        <v>0</v>
      </c>
      <c r="L228" t="n">
        <v>0</v>
      </c>
      <c r="M228" t="n">
        <v>0</v>
      </c>
      <c r="N228" t="n">
        <v>0</v>
      </c>
      <c r="O228" t="n">
        <v>0</v>
      </c>
      <c r="P228" t="n">
        <v>0</v>
      </c>
      <c r="Q228" t="n">
        <v>0</v>
      </c>
      <c r="R228" t="n">
        <v>0</v>
      </c>
      <c r="S228" t="n">
        <v>0</v>
      </c>
      <c r="T228" t="n">
        <v>0</v>
      </c>
      <c r="U228" s="2" t="inlineStr"/>
    </row>
    <row r="229" ht="15" customHeight="1">
      <c r="A229" t="inlineStr">
        <is>
          <t>A 15806-2024</t>
        </is>
      </c>
      <c r="B229" t="inlineStr">
        <is>
          <t>avverkningsanmälan</t>
        </is>
      </c>
      <c r="C229" t="inlineStr">
        <is>
          <t>Föryngringsavverkning</t>
        </is>
      </c>
      <c r="D229" s="1" t="n">
        <v>45404</v>
      </c>
      <c r="E229" s="1" t="n">
        <v>46217</v>
      </c>
      <c r="F229" t="inlineStr">
        <is>
          <t>ÖREBRO LÄN</t>
        </is>
      </c>
      <c r="G229" t="inlineStr">
        <is>
          <t>ASKERSUND</t>
        </is>
      </c>
      <c r="H229" t="inlineStr">
        <is>
          <t>Sveaskog</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59562-2022</t>
        </is>
      </c>
      <c r="B230" t="inlineStr">
        <is>
          <t>avverkningsanmälan</t>
        </is>
      </c>
      <c r="C230" t="inlineStr">
        <is>
          <t>Föryngringsavverkning</t>
        </is>
      </c>
      <c r="D230" s="1" t="n">
        <v>44907</v>
      </c>
      <c r="E230" s="1" t="n">
        <v>46217</v>
      </c>
      <c r="F230" t="inlineStr">
        <is>
          <t>ÖREBRO LÄN</t>
        </is>
      </c>
      <c r="G230" t="inlineStr">
        <is>
          <t>ASKERSUND</t>
        </is>
      </c>
      <c r="H230" t="inlineStr">
        <is>
          <t>Sveaskog</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37294-2021</t>
        </is>
      </c>
      <c r="B231" t="inlineStr">
        <is>
          <t>avverkningsanmälan</t>
        </is>
      </c>
      <c r="C231" t="inlineStr">
        <is>
          <t>Föryngringsavverkning</t>
        </is>
      </c>
      <c r="D231" s="1" t="n">
        <v>44397</v>
      </c>
      <c r="E231" s="1" t="n">
        <v>46217</v>
      </c>
      <c r="F231" t="inlineStr">
        <is>
          <t>ÖREBRO LÄN</t>
        </is>
      </c>
      <c r="G231" t="inlineStr">
        <is>
          <t>ASKERSUND</t>
        </is>
      </c>
      <c r="I231" t="n">
        <v>7.1</v>
      </c>
      <c r="J231" t="n">
        <v>0</v>
      </c>
      <c r="K231" t="n">
        <v>0</v>
      </c>
      <c r="L231" t="n">
        <v>0</v>
      </c>
      <c r="M231" t="n">
        <v>0</v>
      </c>
      <c r="N231" t="n">
        <v>0</v>
      </c>
      <c r="O231" t="n">
        <v>0</v>
      </c>
      <c r="P231" t="n">
        <v>0</v>
      </c>
      <c r="Q231" t="n">
        <v>0</v>
      </c>
      <c r="R231" t="n">
        <v>0</v>
      </c>
      <c r="S231" t="n">
        <v>0</v>
      </c>
      <c r="T231" t="n">
        <v>0</v>
      </c>
      <c r="U231" s="2" t="inlineStr"/>
    </row>
    <row r="232" ht="15" customHeight="1">
      <c r="A232" t="inlineStr">
        <is>
          <t>A 44938-2021</t>
        </is>
      </c>
      <c r="B232" t="inlineStr">
        <is>
          <t>avverkningsanmälan</t>
        </is>
      </c>
      <c r="C232" t="inlineStr">
        <is>
          <t>Föryngringsavverkning</t>
        </is>
      </c>
      <c r="D232" s="1" t="n">
        <v>44438</v>
      </c>
      <c r="E232" s="1" t="n">
        <v>46217</v>
      </c>
      <c r="F232" t="inlineStr">
        <is>
          <t>ÖREBRO LÄN</t>
        </is>
      </c>
      <c r="G232" t="inlineStr">
        <is>
          <t>ASKERSUND</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16631-2024</t>
        </is>
      </c>
      <c r="B233" t="inlineStr">
        <is>
          <t>avverkningsanmälan</t>
        </is>
      </c>
      <c r="C233" t="inlineStr">
        <is>
          <t>Föryngringsavverkning</t>
        </is>
      </c>
      <c r="D233" s="1" t="n">
        <v>45408</v>
      </c>
      <c r="E233" s="1" t="n">
        <v>46217</v>
      </c>
      <c r="F233" t="inlineStr">
        <is>
          <t>ÖREBRO LÄN</t>
        </is>
      </c>
      <c r="G233" t="inlineStr">
        <is>
          <t>ASKERSUND</t>
        </is>
      </c>
      <c r="H233" t="inlineStr">
        <is>
          <t>Sveaskog</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50014-2021</t>
        </is>
      </c>
      <c r="B234" t="inlineStr">
        <is>
          <t>avverkningsanmälan</t>
        </is>
      </c>
      <c r="C234" t="inlineStr">
        <is>
          <t>Föryngringsavverkning</t>
        </is>
      </c>
      <c r="D234" s="1" t="n">
        <v>44456</v>
      </c>
      <c r="E234" s="1" t="n">
        <v>46217</v>
      </c>
      <c r="F234" t="inlineStr">
        <is>
          <t>ÖREBRO LÄN</t>
        </is>
      </c>
      <c r="G234" t="inlineStr">
        <is>
          <t>ASKERSUND</t>
        </is>
      </c>
      <c r="H234" t="inlineStr">
        <is>
          <t>Sveaskog</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12732-2022</t>
        </is>
      </c>
      <c r="B235" t="inlineStr">
        <is>
          <t>avverkningsanmälan</t>
        </is>
      </c>
      <c r="C235" t="inlineStr">
        <is>
          <t>Föryngringsavverkning</t>
        </is>
      </c>
      <c r="D235" s="1" t="n">
        <v>44641</v>
      </c>
      <c r="E235" s="1" t="n">
        <v>46217</v>
      </c>
      <c r="F235" t="inlineStr">
        <is>
          <t>ÖREBRO LÄN</t>
        </is>
      </c>
      <c r="G235" t="inlineStr">
        <is>
          <t>ASKERSUND</t>
        </is>
      </c>
      <c r="H235" t="inlineStr">
        <is>
          <t>Sveaskog</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47344-2024</t>
        </is>
      </c>
      <c r="B236" t="inlineStr">
        <is>
          <t>avverkningsanmälan</t>
        </is>
      </c>
      <c r="C236" t="inlineStr">
        <is>
          <t>Föryngringsavverkning</t>
        </is>
      </c>
      <c r="D236" s="1" t="n">
        <v>45587</v>
      </c>
      <c r="E236" s="1" t="n">
        <v>46217</v>
      </c>
      <c r="F236" t="inlineStr">
        <is>
          <t>ÖREBRO LÄN</t>
        </is>
      </c>
      <c r="G236" t="inlineStr">
        <is>
          <t>ASKERSUND</t>
        </is>
      </c>
      <c r="H236" t="inlineStr">
        <is>
          <t>Sveaskog</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13046-2024</t>
        </is>
      </c>
      <c r="B237" t="inlineStr">
        <is>
          <t>avverkningsanmälan</t>
        </is>
      </c>
      <c r="C237" t="inlineStr">
        <is>
          <t>Föryngringsavverkning</t>
        </is>
      </c>
      <c r="D237" s="1" t="n">
        <v>45385</v>
      </c>
      <c r="E237" s="1" t="n">
        <v>46217</v>
      </c>
      <c r="F237" t="inlineStr">
        <is>
          <t>ÖREBRO LÄN</t>
        </is>
      </c>
      <c r="G237" t="inlineStr">
        <is>
          <t>ASKERSUND</t>
        </is>
      </c>
      <c r="H237" t="inlineStr">
        <is>
          <t>Sveaskog</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46174-2021</t>
        </is>
      </c>
      <c r="B238" t="inlineStr">
        <is>
          <t>avverkningsanmälan</t>
        </is>
      </c>
      <c r="C238" t="inlineStr">
        <is>
          <t>Föryngringsavverkning</t>
        </is>
      </c>
      <c r="D238" s="1" t="n">
        <v>44442</v>
      </c>
      <c r="E238" s="1" t="n">
        <v>46217</v>
      </c>
      <c r="F238" t="inlineStr">
        <is>
          <t>ÖREBRO LÄN</t>
        </is>
      </c>
      <c r="G238" t="inlineStr">
        <is>
          <t>ASKERSUND</t>
        </is>
      </c>
      <c r="I238" t="n">
        <v>15.7</v>
      </c>
      <c r="J238" t="n">
        <v>0</v>
      </c>
      <c r="K238" t="n">
        <v>0</v>
      </c>
      <c r="L238" t="n">
        <v>0</v>
      </c>
      <c r="M238" t="n">
        <v>0</v>
      </c>
      <c r="N238" t="n">
        <v>0</v>
      </c>
      <c r="O238" t="n">
        <v>0</v>
      </c>
      <c r="P238" t="n">
        <v>0</v>
      </c>
      <c r="Q238" t="n">
        <v>0</v>
      </c>
      <c r="R238" t="n">
        <v>0</v>
      </c>
      <c r="S238" t="n">
        <v>0</v>
      </c>
      <c r="T238" t="n">
        <v>0</v>
      </c>
      <c r="U238" s="2" t="inlineStr"/>
    </row>
    <row r="239" ht="15" customHeight="1">
      <c r="A239" t="inlineStr">
        <is>
          <t>A 31512-2023</t>
        </is>
      </c>
      <c r="B239" t="inlineStr">
        <is>
          <t>avverkningsanmälan</t>
        </is>
      </c>
      <c r="C239" t="inlineStr">
        <is>
          <t>Föryngringsavverkning</t>
        </is>
      </c>
      <c r="D239" s="1" t="n">
        <v>45115</v>
      </c>
      <c r="E239" s="1" t="n">
        <v>46217</v>
      </c>
      <c r="F239" t="inlineStr">
        <is>
          <t>ÖREBRO LÄN</t>
        </is>
      </c>
      <c r="G239" t="inlineStr">
        <is>
          <t>ASKERSUND</t>
        </is>
      </c>
      <c r="H239" t="inlineStr">
        <is>
          <t>Sveaskog</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16097-2023</t>
        </is>
      </c>
      <c r="B240" t="inlineStr">
        <is>
          <t>avverkningsanmälan</t>
        </is>
      </c>
      <c r="C240" t="inlineStr">
        <is>
          <t>Föryngringsavverkning</t>
        </is>
      </c>
      <c r="D240" s="1" t="n">
        <v>45027</v>
      </c>
      <c r="E240" s="1" t="n">
        <v>46217</v>
      </c>
      <c r="F240" t="inlineStr">
        <is>
          <t>ÖREBRO LÄN</t>
        </is>
      </c>
      <c r="G240" t="inlineStr">
        <is>
          <t>ASKERSUND</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52786-2023</t>
        </is>
      </c>
      <c r="B241" t="inlineStr">
        <is>
          <t>avverkningsanmälan</t>
        </is>
      </c>
      <c r="C241" t="inlineStr">
        <is>
          <t>Föryngringsavverkning</t>
        </is>
      </c>
      <c r="D241" s="1" t="n">
        <v>45226</v>
      </c>
      <c r="E241" s="1" t="n">
        <v>46217</v>
      </c>
      <c r="F241" t="inlineStr">
        <is>
          <t>ÖREBRO LÄN</t>
        </is>
      </c>
      <c r="G241" t="inlineStr">
        <is>
          <t>ASKERSUND</t>
        </is>
      </c>
      <c r="I241" t="n">
        <v>6</v>
      </c>
      <c r="J241" t="n">
        <v>0</v>
      </c>
      <c r="K241" t="n">
        <v>0</v>
      </c>
      <c r="L241" t="n">
        <v>0</v>
      </c>
      <c r="M241" t="n">
        <v>0</v>
      </c>
      <c r="N241" t="n">
        <v>0</v>
      </c>
      <c r="O241" t="n">
        <v>0</v>
      </c>
      <c r="P241" t="n">
        <v>0</v>
      </c>
      <c r="Q241" t="n">
        <v>0</v>
      </c>
      <c r="R241" t="n">
        <v>0</v>
      </c>
      <c r="S241" t="n">
        <v>0</v>
      </c>
      <c r="T241" t="n">
        <v>0</v>
      </c>
      <c r="U241" s="2" t="inlineStr"/>
    </row>
    <row r="242" ht="15" customHeight="1">
      <c r="A242" t="inlineStr">
        <is>
          <t>A 62319-2023</t>
        </is>
      </c>
      <c r="B242" t="inlineStr">
        <is>
          <t>avverkningsanmälan</t>
        </is>
      </c>
      <c r="C242" t="inlineStr">
        <is>
          <t>Föryngringsavverkning</t>
        </is>
      </c>
      <c r="D242" s="1" t="n">
        <v>45267</v>
      </c>
      <c r="E242" s="1" t="n">
        <v>46217</v>
      </c>
      <c r="F242" t="inlineStr">
        <is>
          <t>ÖREBRO LÄN</t>
        </is>
      </c>
      <c r="G242" t="inlineStr">
        <is>
          <t>ASKERSUND</t>
        </is>
      </c>
      <c r="I242" t="n">
        <v>3.4</v>
      </c>
      <c r="J242" t="n">
        <v>0</v>
      </c>
      <c r="K242" t="n">
        <v>0</v>
      </c>
      <c r="L242" t="n">
        <v>0</v>
      </c>
      <c r="M242" t="n">
        <v>0</v>
      </c>
      <c r="N242" t="n">
        <v>0</v>
      </c>
      <c r="O242" t="n">
        <v>0</v>
      </c>
      <c r="P242" t="n">
        <v>0</v>
      </c>
      <c r="Q242" t="n">
        <v>0</v>
      </c>
      <c r="R242" t="n">
        <v>0</v>
      </c>
      <c r="S242" t="n">
        <v>0</v>
      </c>
      <c r="T242" t="n">
        <v>0</v>
      </c>
      <c r="U242" s="2" t="inlineStr"/>
    </row>
    <row r="243" ht="15" customHeight="1">
      <c r="A243" t="inlineStr">
        <is>
          <t>A 30351-2025</t>
        </is>
      </c>
      <c r="B243" t="inlineStr">
        <is>
          <t>avverkningsanmälan</t>
        </is>
      </c>
      <c r="C243" t="inlineStr">
        <is>
          <t>Föryngringsavverkning</t>
        </is>
      </c>
      <c r="D243" s="1" t="n">
        <v>45827</v>
      </c>
      <c r="E243" s="1" t="n">
        <v>46217</v>
      </c>
      <c r="F243" t="inlineStr">
        <is>
          <t>ÖREBRO LÄN</t>
        </is>
      </c>
      <c r="G243" t="inlineStr">
        <is>
          <t>ASKERSUND</t>
        </is>
      </c>
      <c r="H243" t="inlineStr">
        <is>
          <t>Sveaskog</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27835-2025</t>
        </is>
      </c>
      <c r="B244" t="inlineStr">
        <is>
          <t>avverkningsanmälan</t>
        </is>
      </c>
      <c r="C244" t="inlineStr">
        <is>
          <t>Föryngringsavverkning</t>
        </is>
      </c>
      <c r="D244" s="1" t="n">
        <v>45817</v>
      </c>
      <c r="E244" s="1" t="n">
        <v>46217</v>
      </c>
      <c r="F244" t="inlineStr">
        <is>
          <t>ÖREBRO LÄN</t>
        </is>
      </c>
      <c r="G244" t="inlineStr">
        <is>
          <t>ASKERSUND</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44972-2021</t>
        </is>
      </c>
      <c r="B245" t="inlineStr">
        <is>
          <t>avverkningsanmälan</t>
        </is>
      </c>
      <c r="C245" t="inlineStr">
        <is>
          <t>Föryngringsavverkning</t>
        </is>
      </c>
      <c r="D245" s="1" t="n">
        <v>44438</v>
      </c>
      <c r="E245" s="1" t="n">
        <v>46217</v>
      </c>
      <c r="F245" t="inlineStr">
        <is>
          <t>ÖREBRO LÄN</t>
        </is>
      </c>
      <c r="G245" t="inlineStr">
        <is>
          <t>ASKERSUND</t>
        </is>
      </c>
      <c r="I245" t="n">
        <v>6.8</v>
      </c>
      <c r="J245" t="n">
        <v>0</v>
      </c>
      <c r="K245" t="n">
        <v>0</v>
      </c>
      <c r="L245" t="n">
        <v>0</v>
      </c>
      <c r="M245" t="n">
        <v>0</v>
      </c>
      <c r="N245" t="n">
        <v>0</v>
      </c>
      <c r="O245" t="n">
        <v>0</v>
      </c>
      <c r="P245" t="n">
        <v>0</v>
      </c>
      <c r="Q245" t="n">
        <v>0</v>
      </c>
      <c r="R245" t="n">
        <v>0</v>
      </c>
      <c r="S245" t="n">
        <v>0</v>
      </c>
      <c r="T245" t="n">
        <v>0</v>
      </c>
      <c r="U245" s="2" t="inlineStr"/>
    </row>
    <row r="246" ht="15" customHeight="1">
      <c r="A246" t="inlineStr">
        <is>
          <t>A 38824-2025</t>
        </is>
      </c>
      <c r="B246" t="inlineStr">
        <is>
          <t>avverkningsanmälan</t>
        </is>
      </c>
      <c r="C246" t="inlineStr">
        <is>
          <t>Föryngringsavverkning</t>
        </is>
      </c>
      <c r="D246" s="1" t="n">
        <v>45887</v>
      </c>
      <c r="E246" s="1" t="n">
        <v>46217</v>
      </c>
      <c r="F246" t="inlineStr">
        <is>
          <t>ÖREBRO LÄN</t>
        </is>
      </c>
      <c r="G246" t="inlineStr">
        <is>
          <t>ASKERSUND</t>
        </is>
      </c>
      <c r="I246" t="n">
        <v>2.1</v>
      </c>
      <c r="J246" t="n">
        <v>0</v>
      </c>
      <c r="K246" t="n">
        <v>0</v>
      </c>
      <c r="L246" t="n">
        <v>0</v>
      </c>
      <c r="M246" t="n">
        <v>0</v>
      </c>
      <c r="N246" t="n">
        <v>0</v>
      </c>
      <c r="O246" t="n">
        <v>0</v>
      </c>
      <c r="P246" t="n">
        <v>0</v>
      </c>
      <c r="Q246" t="n">
        <v>0</v>
      </c>
      <c r="R246" t="n">
        <v>0</v>
      </c>
      <c r="S246" t="n">
        <v>0</v>
      </c>
      <c r="T246" t="n">
        <v>0</v>
      </c>
      <c r="U246" s="2" t="inlineStr"/>
    </row>
    <row r="247" ht="15" customHeight="1">
      <c r="A247" t="inlineStr">
        <is>
          <t>A 8210-2022</t>
        </is>
      </c>
      <c r="B247" t="inlineStr">
        <is>
          <t>avverkningsanmälan</t>
        </is>
      </c>
      <c r="C247" t="inlineStr">
        <is>
          <t>Föryngringsavverkning</t>
        </is>
      </c>
      <c r="D247" s="1" t="n">
        <v>44609</v>
      </c>
      <c r="E247" s="1" t="n">
        <v>46217</v>
      </c>
      <c r="F247" t="inlineStr">
        <is>
          <t>ÖREBRO LÄN</t>
        </is>
      </c>
      <c r="G247" t="inlineStr">
        <is>
          <t>ASKERSUND</t>
        </is>
      </c>
      <c r="I247" t="n">
        <v>8.300000000000001</v>
      </c>
      <c r="J247" t="n">
        <v>0</v>
      </c>
      <c r="K247" t="n">
        <v>0</v>
      </c>
      <c r="L247" t="n">
        <v>0</v>
      </c>
      <c r="M247" t="n">
        <v>0</v>
      </c>
      <c r="N247" t="n">
        <v>0</v>
      </c>
      <c r="O247" t="n">
        <v>0</v>
      </c>
      <c r="P247" t="n">
        <v>0</v>
      </c>
      <c r="Q247" t="n">
        <v>0</v>
      </c>
      <c r="R247" t="n">
        <v>0</v>
      </c>
      <c r="S247" t="n">
        <v>0</v>
      </c>
      <c r="T247" t="n">
        <v>0</v>
      </c>
      <c r="U247" s="2" t="inlineStr"/>
    </row>
    <row r="248" ht="15" customHeight="1">
      <c r="A248" t="inlineStr">
        <is>
          <t>A 27814-2025</t>
        </is>
      </c>
      <c r="B248" t="inlineStr">
        <is>
          <t>avverkningsanmälan</t>
        </is>
      </c>
      <c r="C248" t="inlineStr">
        <is>
          <t>Föryngringsavverkning</t>
        </is>
      </c>
      <c r="D248" s="1" t="n">
        <v>45817</v>
      </c>
      <c r="E248" s="1" t="n">
        <v>46217</v>
      </c>
      <c r="F248" t="inlineStr">
        <is>
          <t>ÖREBRO LÄN</t>
        </is>
      </c>
      <c r="G248" t="inlineStr">
        <is>
          <t>ASKERSUND</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41838-2022</t>
        </is>
      </c>
      <c r="B249" t="inlineStr">
        <is>
          <t>avverkningsanmälan</t>
        </is>
      </c>
      <c r="C249" t="inlineStr">
        <is>
          <t>Föryngringsavverkning</t>
        </is>
      </c>
      <c r="D249" s="1" t="n">
        <v>44828</v>
      </c>
      <c r="E249" s="1" t="n">
        <v>46217</v>
      </c>
      <c r="F249" t="inlineStr">
        <is>
          <t>ÖREBRO LÄN</t>
        </is>
      </c>
      <c r="G249" t="inlineStr">
        <is>
          <t>ASKERSUND</t>
        </is>
      </c>
      <c r="I249" t="n">
        <v>2.4</v>
      </c>
      <c r="J249" t="n">
        <v>0</v>
      </c>
      <c r="K249" t="n">
        <v>0</v>
      </c>
      <c r="L249" t="n">
        <v>0</v>
      </c>
      <c r="M249" t="n">
        <v>0</v>
      </c>
      <c r="N249" t="n">
        <v>0</v>
      </c>
      <c r="O249" t="n">
        <v>0</v>
      </c>
      <c r="P249" t="n">
        <v>0</v>
      </c>
      <c r="Q249" t="n">
        <v>0</v>
      </c>
      <c r="R249" t="n">
        <v>0</v>
      </c>
      <c r="S249" t="n">
        <v>0</v>
      </c>
      <c r="T249" t="n">
        <v>0</v>
      </c>
      <c r="U249" s="2" t="inlineStr"/>
    </row>
    <row r="250" ht="15" customHeight="1">
      <c r="A250" t="inlineStr">
        <is>
          <t>A 46174-2021</t>
        </is>
      </c>
      <c r="B250" t="inlineStr">
        <is>
          <t>avverkningsanmälan</t>
        </is>
      </c>
      <c r="C250" t="inlineStr">
        <is>
          <t>Föryngringsavverkning</t>
        </is>
      </c>
      <c r="D250" s="1" t="n">
        <v>44442</v>
      </c>
      <c r="E250" s="1" t="n">
        <v>46217</v>
      </c>
      <c r="F250" t="inlineStr">
        <is>
          <t>ÖREBRO LÄN</t>
        </is>
      </c>
      <c r="G250" t="inlineStr">
        <is>
          <t>ASKERSUND</t>
        </is>
      </c>
      <c r="I250" t="n">
        <v>15.7</v>
      </c>
      <c r="J250" t="n">
        <v>0</v>
      </c>
      <c r="K250" t="n">
        <v>0</v>
      </c>
      <c r="L250" t="n">
        <v>0</v>
      </c>
      <c r="M250" t="n">
        <v>0</v>
      </c>
      <c r="N250" t="n">
        <v>0</v>
      </c>
      <c r="O250" t="n">
        <v>0</v>
      </c>
      <c r="P250" t="n">
        <v>0</v>
      </c>
      <c r="Q250" t="n">
        <v>0</v>
      </c>
      <c r="R250" t="n">
        <v>0</v>
      </c>
      <c r="S250" t="n">
        <v>0</v>
      </c>
      <c r="T250" t="n">
        <v>0</v>
      </c>
      <c r="U250" s="2" t="inlineStr"/>
    </row>
    <row r="251" ht="15" customHeight="1">
      <c r="A251" t="inlineStr">
        <is>
          <t>A 40745-2025</t>
        </is>
      </c>
      <c r="B251" t="inlineStr">
        <is>
          <t>avverkningsanmälan</t>
        </is>
      </c>
      <c r="C251" t="inlineStr">
        <is>
          <t>Föryngringsavverkning</t>
        </is>
      </c>
      <c r="D251" s="1" t="n">
        <v>45897</v>
      </c>
      <c r="E251" s="1" t="n">
        <v>46217</v>
      </c>
      <c r="F251" t="inlineStr">
        <is>
          <t>ÖREBRO LÄN</t>
        </is>
      </c>
      <c r="G251" t="inlineStr">
        <is>
          <t>ASKERSUND</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58155-2021</t>
        </is>
      </c>
      <c r="B252" t="inlineStr">
        <is>
          <t>avverkningsanmälan</t>
        </is>
      </c>
      <c r="C252" t="inlineStr">
        <is>
          <t>Föryngringsavverkning</t>
        </is>
      </c>
      <c r="D252" s="1" t="n">
        <v>44487</v>
      </c>
      <c r="E252" s="1" t="n">
        <v>46217</v>
      </c>
      <c r="F252" t="inlineStr">
        <is>
          <t>ÖREBRO LÄN</t>
        </is>
      </c>
      <c r="G252" t="inlineStr">
        <is>
          <t>ASKERSUND</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31668-2024</t>
        </is>
      </c>
      <c r="B253" t="inlineStr">
        <is>
          <t>avverkningsanmälan</t>
        </is>
      </c>
      <c r="C253" t="inlineStr">
        <is>
          <t>Föryngringsavverkning</t>
        </is>
      </c>
      <c r="D253" s="1" t="n">
        <v>45506</v>
      </c>
      <c r="E253" s="1" t="n">
        <v>46217</v>
      </c>
      <c r="F253" t="inlineStr">
        <is>
          <t>ÖREBRO LÄN</t>
        </is>
      </c>
      <c r="G253" t="inlineStr">
        <is>
          <t>ASKERSUND</t>
        </is>
      </c>
      <c r="H253" t="inlineStr">
        <is>
          <t>Sveaskog</t>
        </is>
      </c>
      <c r="I253" t="n">
        <v>0.2</v>
      </c>
      <c r="J253" t="n">
        <v>0</v>
      </c>
      <c r="K253" t="n">
        <v>0</v>
      </c>
      <c r="L253" t="n">
        <v>0</v>
      </c>
      <c r="M253" t="n">
        <v>0</v>
      </c>
      <c r="N253" t="n">
        <v>0</v>
      </c>
      <c r="O253" t="n">
        <v>0</v>
      </c>
      <c r="P253" t="n">
        <v>0</v>
      </c>
      <c r="Q253" t="n">
        <v>0</v>
      </c>
      <c r="R253" t="n">
        <v>0</v>
      </c>
      <c r="S253" t="n">
        <v>0</v>
      </c>
      <c r="T253" t="n">
        <v>0</v>
      </c>
      <c r="U253" s="2" t="inlineStr"/>
    </row>
    <row r="254" ht="15" customHeight="1">
      <c r="A254" t="inlineStr">
        <is>
          <t>A 15976-2023</t>
        </is>
      </c>
      <c r="B254" t="inlineStr">
        <is>
          <t>avverkningsanmälan</t>
        </is>
      </c>
      <c r="C254" t="inlineStr">
        <is>
          <t>Föryngringsavverkning</t>
        </is>
      </c>
      <c r="D254" s="1" t="n">
        <v>45022</v>
      </c>
      <c r="E254" s="1" t="n">
        <v>46217</v>
      </c>
      <c r="F254" t="inlineStr">
        <is>
          <t>ÖREBRO LÄN</t>
        </is>
      </c>
      <c r="G254" t="inlineStr">
        <is>
          <t>ASKERSUND</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42100-2025</t>
        </is>
      </c>
      <c r="B255" t="inlineStr">
        <is>
          <t>avverkningsanmälan</t>
        </is>
      </c>
      <c r="C255" t="inlineStr">
        <is>
          <t>Föryngringsavverkning</t>
        </is>
      </c>
      <c r="D255" s="1" t="n">
        <v>45903</v>
      </c>
      <c r="E255" s="1" t="n">
        <v>46217</v>
      </c>
      <c r="F255" t="inlineStr">
        <is>
          <t>ÖREBRO LÄN</t>
        </is>
      </c>
      <c r="G255" t="inlineStr">
        <is>
          <t>ASKERSUND</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55047-2021</t>
        </is>
      </c>
      <c r="B256" t="inlineStr">
        <is>
          <t>avverkningsanmälan</t>
        </is>
      </c>
      <c r="C256" t="inlineStr">
        <is>
          <t>Föryngringsavverkning</t>
        </is>
      </c>
      <c r="D256" s="1" t="n">
        <v>44474</v>
      </c>
      <c r="E256" s="1" t="n">
        <v>46217</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42281-2025</t>
        </is>
      </c>
      <c r="B257" t="inlineStr">
        <is>
          <t>avverkningsanmälan</t>
        </is>
      </c>
      <c r="C257" t="inlineStr">
        <is>
          <t>Föryngringsavverkning</t>
        </is>
      </c>
      <c r="D257" s="1" t="n">
        <v>45904</v>
      </c>
      <c r="E257" s="1" t="n">
        <v>46217</v>
      </c>
      <c r="F257" t="inlineStr">
        <is>
          <t>ÖREBRO LÄN</t>
        </is>
      </c>
      <c r="G257" t="inlineStr">
        <is>
          <t>ASKERSUND</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12426-2023</t>
        </is>
      </c>
      <c r="B258" t="inlineStr">
        <is>
          <t>avverkningsanmälan</t>
        </is>
      </c>
      <c r="C258" t="inlineStr">
        <is>
          <t>Föryngringsavverkning</t>
        </is>
      </c>
      <c r="D258" s="1" t="n">
        <v>44999</v>
      </c>
      <c r="E258" s="1" t="n">
        <v>46217</v>
      </c>
      <c r="F258" t="inlineStr">
        <is>
          <t>ÖREBRO LÄN</t>
        </is>
      </c>
      <c r="G258" t="inlineStr">
        <is>
          <t>ASKERSUND</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5228-2023</t>
        </is>
      </c>
      <c r="B259" t="inlineStr">
        <is>
          <t>avverkningsanmälan</t>
        </is>
      </c>
      <c r="C259" t="inlineStr">
        <is>
          <t>Föryngringsavverkning</t>
        </is>
      </c>
      <c r="D259" s="1" t="n">
        <v>44959</v>
      </c>
      <c r="E259" s="1" t="n">
        <v>46217</v>
      </c>
      <c r="F259" t="inlineStr">
        <is>
          <t>ÖREBRO LÄN</t>
        </is>
      </c>
      <c r="G259" t="inlineStr">
        <is>
          <t>ASKERSUND</t>
        </is>
      </c>
      <c r="I259" t="n">
        <v>7.7</v>
      </c>
      <c r="J259" t="n">
        <v>0</v>
      </c>
      <c r="K259" t="n">
        <v>0</v>
      </c>
      <c r="L259" t="n">
        <v>0</v>
      </c>
      <c r="M259" t="n">
        <v>0</v>
      </c>
      <c r="N259" t="n">
        <v>0</v>
      </c>
      <c r="O259" t="n">
        <v>0</v>
      </c>
      <c r="P259" t="n">
        <v>0</v>
      </c>
      <c r="Q259" t="n">
        <v>0</v>
      </c>
      <c r="R259" t="n">
        <v>0</v>
      </c>
      <c r="S259" t="n">
        <v>0</v>
      </c>
      <c r="T259" t="n">
        <v>0</v>
      </c>
      <c r="U259" s="2" t="inlineStr"/>
    </row>
    <row r="260" ht="15" customHeight="1">
      <c r="A260" t="inlineStr">
        <is>
          <t>A 50102-2024</t>
        </is>
      </c>
      <c r="B260" t="inlineStr">
        <is>
          <t>avverkningsanmälan</t>
        </is>
      </c>
      <c r="C260" t="inlineStr">
        <is>
          <t>Föryngringsavverkning</t>
        </is>
      </c>
      <c r="D260" s="1" t="n">
        <v>45599</v>
      </c>
      <c r="E260" s="1" t="n">
        <v>46217</v>
      </c>
      <c r="F260" t="inlineStr">
        <is>
          <t>ÖREBRO LÄN</t>
        </is>
      </c>
      <c r="G260" t="inlineStr">
        <is>
          <t>ASKERSUND</t>
        </is>
      </c>
      <c r="I260" t="n">
        <v>2.3</v>
      </c>
      <c r="J260" t="n">
        <v>0</v>
      </c>
      <c r="K260" t="n">
        <v>0</v>
      </c>
      <c r="L260" t="n">
        <v>0</v>
      </c>
      <c r="M260" t="n">
        <v>0</v>
      </c>
      <c r="N260" t="n">
        <v>0</v>
      </c>
      <c r="O260" t="n">
        <v>0</v>
      </c>
      <c r="P260" t="n">
        <v>0</v>
      </c>
      <c r="Q260" t="n">
        <v>0</v>
      </c>
      <c r="R260" t="n">
        <v>0</v>
      </c>
      <c r="S260" t="n">
        <v>0</v>
      </c>
      <c r="T260" t="n">
        <v>0</v>
      </c>
      <c r="U260" s="2" t="inlineStr"/>
    </row>
    <row r="261" ht="15" customHeight="1">
      <c r="A261" t="inlineStr">
        <is>
          <t>A 22802-2023</t>
        </is>
      </c>
      <c r="B261" t="inlineStr">
        <is>
          <t>avverkningsanmälan</t>
        </is>
      </c>
      <c r="C261" t="inlineStr">
        <is>
          <t>Föryngringsavverkning</t>
        </is>
      </c>
      <c r="D261" s="1" t="n">
        <v>45072</v>
      </c>
      <c r="E261" s="1" t="n">
        <v>46217</v>
      </c>
      <c r="F261" t="inlineStr">
        <is>
          <t>ÖREBRO LÄN</t>
        </is>
      </c>
      <c r="G261" t="inlineStr">
        <is>
          <t>ASKERSUND</t>
        </is>
      </c>
      <c r="I261" t="n">
        <v>4.1</v>
      </c>
      <c r="J261" t="n">
        <v>0</v>
      </c>
      <c r="K261" t="n">
        <v>0</v>
      </c>
      <c r="L261" t="n">
        <v>0</v>
      </c>
      <c r="M261" t="n">
        <v>0</v>
      </c>
      <c r="N261" t="n">
        <v>0</v>
      </c>
      <c r="O261" t="n">
        <v>0</v>
      </c>
      <c r="P261" t="n">
        <v>0</v>
      </c>
      <c r="Q261" t="n">
        <v>0</v>
      </c>
      <c r="R261" t="n">
        <v>0</v>
      </c>
      <c r="S261" t="n">
        <v>0</v>
      </c>
      <c r="T261" t="n">
        <v>0</v>
      </c>
      <c r="U261" s="2" t="inlineStr"/>
    </row>
    <row r="262" ht="15" customHeight="1">
      <c r="A262" t="inlineStr">
        <is>
          <t>A 44679-2025</t>
        </is>
      </c>
      <c r="B262" t="inlineStr">
        <is>
          <t>avverkningsanmälan</t>
        </is>
      </c>
      <c r="C262" t="inlineStr">
        <is>
          <t>Föryngringsavverkning</t>
        </is>
      </c>
      <c r="D262" s="1" t="n">
        <v>45917</v>
      </c>
      <c r="E262" s="1" t="n">
        <v>46217</v>
      </c>
      <c r="F262" t="inlineStr">
        <is>
          <t>ÖREBRO LÄN</t>
        </is>
      </c>
      <c r="G262" t="inlineStr">
        <is>
          <t>ASKERSUND</t>
        </is>
      </c>
      <c r="I262" t="n">
        <v>4.1</v>
      </c>
      <c r="J262" t="n">
        <v>0</v>
      </c>
      <c r="K262" t="n">
        <v>0</v>
      </c>
      <c r="L262" t="n">
        <v>0</v>
      </c>
      <c r="M262" t="n">
        <v>0</v>
      </c>
      <c r="N262" t="n">
        <v>0</v>
      </c>
      <c r="O262" t="n">
        <v>0</v>
      </c>
      <c r="P262" t="n">
        <v>0</v>
      </c>
      <c r="Q262" t="n">
        <v>0</v>
      </c>
      <c r="R262" t="n">
        <v>0</v>
      </c>
      <c r="S262" t="n">
        <v>0</v>
      </c>
      <c r="T262" t="n">
        <v>0</v>
      </c>
      <c r="U262" s="2" t="inlineStr"/>
    </row>
    <row r="263" ht="15" customHeight="1">
      <c r="A263" t="inlineStr">
        <is>
          <t>A 49111-2025</t>
        </is>
      </c>
      <c r="B263" t="inlineStr">
        <is>
          <t>avverkningsanmälan</t>
        </is>
      </c>
      <c r="C263" t="inlineStr">
        <is>
          <t>Föryngringsavverkning</t>
        </is>
      </c>
      <c r="D263" s="1" t="n">
        <v>45937</v>
      </c>
      <c r="E263" s="1" t="n">
        <v>46217</v>
      </c>
      <c r="F263" t="inlineStr">
        <is>
          <t>ÖREBRO LÄN</t>
        </is>
      </c>
      <c r="G263" t="inlineStr">
        <is>
          <t>ASKERSUND</t>
        </is>
      </c>
      <c r="H263" t="inlineStr">
        <is>
          <t>Sveaskog</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51897-2024</t>
        </is>
      </c>
      <c r="B264" t="inlineStr">
        <is>
          <t>avverkningsanmälan</t>
        </is>
      </c>
      <c r="C264" t="inlineStr">
        <is>
          <t>Avverkning för att bevara och utveckla /försöksver</t>
        </is>
      </c>
      <c r="D264" s="1" t="n">
        <v>45607</v>
      </c>
      <c r="E264" s="1" t="n">
        <v>46217</v>
      </c>
      <c r="F264" t="inlineStr">
        <is>
          <t>ÖREBRO LÄN</t>
        </is>
      </c>
      <c r="G264" t="inlineStr">
        <is>
          <t>ASKERSUND</t>
        </is>
      </c>
      <c r="H264" t="inlineStr">
        <is>
          <t>Sveaskog</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45501-2025</t>
        </is>
      </c>
      <c r="B265" t="inlineStr">
        <is>
          <t>avverkningsanmälan</t>
        </is>
      </c>
      <c r="C265" t="inlineStr">
        <is>
          <t>Föryngringsavverkning</t>
        </is>
      </c>
      <c r="D265" s="1" t="n">
        <v>45922</v>
      </c>
      <c r="E265" s="1" t="n">
        <v>46217</v>
      </c>
      <c r="F265" t="inlineStr">
        <is>
          <t>ÖREBRO LÄN</t>
        </is>
      </c>
      <c r="G265" t="inlineStr">
        <is>
          <t>ASKERSUND</t>
        </is>
      </c>
      <c r="I265" t="n">
        <v>5.5</v>
      </c>
      <c r="J265" t="n">
        <v>0</v>
      </c>
      <c r="K265" t="n">
        <v>0</v>
      </c>
      <c r="L265" t="n">
        <v>0</v>
      </c>
      <c r="M265" t="n">
        <v>0</v>
      </c>
      <c r="N265" t="n">
        <v>0</v>
      </c>
      <c r="O265" t="n">
        <v>0</v>
      </c>
      <c r="P265" t="n">
        <v>0</v>
      </c>
      <c r="Q265" t="n">
        <v>0</v>
      </c>
      <c r="R265" t="n">
        <v>0</v>
      </c>
      <c r="S265" t="n">
        <v>0</v>
      </c>
      <c r="T265" t="n">
        <v>0</v>
      </c>
      <c r="U265" s="2" t="inlineStr"/>
    </row>
    <row r="266" ht="15" customHeight="1">
      <c r="A266" t="inlineStr">
        <is>
          <t>A 37532-2023</t>
        </is>
      </c>
      <c r="B266" t="inlineStr">
        <is>
          <t>avverkningsanmälan</t>
        </is>
      </c>
      <c r="C266" t="inlineStr">
        <is>
          <t>Föryngringsavverkning</t>
        </is>
      </c>
      <c r="D266" s="1" t="n">
        <v>45158</v>
      </c>
      <c r="E266" s="1" t="n">
        <v>46217</v>
      </c>
      <c r="F266" t="inlineStr">
        <is>
          <t>ÖREBRO LÄN</t>
        </is>
      </c>
      <c r="G266" t="inlineStr">
        <is>
          <t>ASKERSUND</t>
        </is>
      </c>
      <c r="H266" t="inlineStr">
        <is>
          <t>Sveaskog</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26138-2026</t>
        </is>
      </c>
      <c r="B267" t="inlineStr">
        <is>
          <t>avverkningsanmälan</t>
        </is>
      </c>
      <c r="C267" t="inlineStr">
        <is>
          <t>Föryngringsavverkning</t>
        </is>
      </c>
      <c r="D267" s="1" t="n">
        <v>46181</v>
      </c>
      <c r="E267" s="1" t="n">
        <v>46217</v>
      </c>
      <c r="F267" t="inlineStr">
        <is>
          <t>ÖREBRO LÄN</t>
        </is>
      </c>
      <c r="G267" t="inlineStr">
        <is>
          <t>ASKERSUND</t>
        </is>
      </c>
      <c r="I267" t="n">
        <v>4.1</v>
      </c>
      <c r="J267" t="n">
        <v>0</v>
      </c>
      <c r="K267" t="n">
        <v>0</v>
      </c>
      <c r="L267" t="n">
        <v>0</v>
      </c>
      <c r="M267" t="n">
        <v>0</v>
      </c>
      <c r="N267" t="n">
        <v>0</v>
      </c>
      <c r="O267" t="n">
        <v>0</v>
      </c>
      <c r="P267" t="n">
        <v>0</v>
      </c>
      <c r="Q267" t="n">
        <v>0</v>
      </c>
      <c r="R267" t="n">
        <v>0</v>
      </c>
      <c r="S267" t="n">
        <v>0</v>
      </c>
      <c r="T267" t="n">
        <v>0</v>
      </c>
      <c r="U267" s="2" t="inlineStr"/>
    </row>
    <row r="268" ht="15" customHeight="1">
      <c r="A268" t="inlineStr">
        <is>
          <t>A 38359-2022</t>
        </is>
      </c>
      <c r="B268" t="inlineStr">
        <is>
          <t>avverkningsanmälan</t>
        </is>
      </c>
      <c r="C268" t="inlineStr">
        <is>
          <t>Föryngringsavverkning</t>
        </is>
      </c>
      <c r="D268" s="1" t="n">
        <v>44812</v>
      </c>
      <c r="E268" s="1" t="n">
        <v>46217</v>
      </c>
      <c r="F268" t="inlineStr">
        <is>
          <t>ÖREBRO LÄN</t>
        </is>
      </c>
      <c r="G268" t="inlineStr">
        <is>
          <t>ASKERSUND</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10076-2024</t>
        </is>
      </c>
      <c r="B269" t="inlineStr">
        <is>
          <t>avverkningsanmälan</t>
        </is>
      </c>
      <c r="C269" t="inlineStr">
        <is>
          <t>Föryngringsavverkning</t>
        </is>
      </c>
      <c r="D269" s="1" t="n">
        <v>45364</v>
      </c>
      <c r="E269" s="1" t="n">
        <v>46217</v>
      </c>
      <c r="F269" t="inlineStr">
        <is>
          <t>ÖREBRO LÄN</t>
        </is>
      </c>
      <c r="G269" t="inlineStr">
        <is>
          <t>ASKERSUND</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26127-2026</t>
        </is>
      </c>
      <c r="B270" t="inlineStr">
        <is>
          <t>avverkningsanmälan</t>
        </is>
      </c>
      <c r="C270" t="inlineStr">
        <is>
          <t>Föryngringsavverkning</t>
        </is>
      </c>
      <c r="D270" s="1" t="n">
        <v>46181</v>
      </c>
      <c r="E270" s="1" t="n">
        <v>46217</v>
      </c>
      <c r="F270" t="inlineStr">
        <is>
          <t>ÖREBRO LÄN</t>
        </is>
      </c>
      <c r="G270" t="inlineStr">
        <is>
          <t>ASKERSUND</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62109-2024</t>
        </is>
      </c>
      <c r="B271" t="inlineStr">
        <is>
          <t>avverkningsanmälan</t>
        </is>
      </c>
      <c r="C271" t="inlineStr">
        <is>
          <t>Föryngringsavverkning</t>
        </is>
      </c>
      <c r="D271" s="1" t="n">
        <v>45656</v>
      </c>
      <c r="E271" s="1" t="n">
        <v>46217</v>
      </c>
      <c r="F271" t="inlineStr">
        <is>
          <t>ÖREBRO LÄN</t>
        </is>
      </c>
      <c r="G271" t="inlineStr">
        <is>
          <t>ASKERSUND</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26205-2026</t>
        </is>
      </c>
      <c r="B272" t="inlineStr">
        <is>
          <t>avverkningsanmälan</t>
        </is>
      </c>
      <c r="C272" t="inlineStr">
        <is>
          <t>Föryngringsavverkning</t>
        </is>
      </c>
      <c r="D272" s="1" t="n">
        <v>46182</v>
      </c>
      <c r="E272" s="1" t="n">
        <v>46217</v>
      </c>
      <c r="F272" t="inlineStr">
        <is>
          <t>ÖREBRO LÄN</t>
        </is>
      </c>
      <c r="G272" t="inlineStr">
        <is>
          <t>ASKERSUND</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29401-2022</t>
        </is>
      </c>
      <c r="B273" t="inlineStr">
        <is>
          <t>avverkningsanmälan</t>
        </is>
      </c>
      <c r="C273" t="inlineStr">
        <is>
          <t>Föryngringsavverkning</t>
        </is>
      </c>
      <c r="D273" s="1" t="n">
        <v>44753</v>
      </c>
      <c r="E273" s="1" t="n">
        <v>46217</v>
      </c>
      <c r="F273" t="inlineStr">
        <is>
          <t>ÖREBRO LÄN</t>
        </is>
      </c>
      <c r="G273" t="inlineStr">
        <is>
          <t>ASKERSUND</t>
        </is>
      </c>
      <c r="H273" t="inlineStr">
        <is>
          <t>Övriga Aktiebolag</t>
        </is>
      </c>
      <c r="I273" t="n">
        <v>8.199999999999999</v>
      </c>
      <c r="J273" t="n">
        <v>0</v>
      </c>
      <c r="K273" t="n">
        <v>0</v>
      </c>
      <c r="L273" t="n">
        <v>0</v>
      </c>
      <c r="M273" t="n">
        <v>0</v>
      </c>
      <c r="N273" t="n">
        <v>0</v>
      </c>
      <c r="O273" t="n">
        <v>0</v>
      </c>
      <c r="P273" t="n">
        <v>0</v>
      </c>
      <c r="Q273" t="n">
        <v>0</v>
      </c>
      <c r="R273" t="n">
        <v>0</v>
      </c>
      <c r="S273" t="n">
        <v>0</v>
      </c>
      <c r="T273" t="n">
        <v>0</v>
      </c>
      <c r="U273" s="2" t="inlineStr"/>
    </row>
    <row r="274" ht="15" customHeight="1">
      <c r="A274" t="inlineStr">
        <is>
          <t>A 47296-2025</t>
        </is>
      </c>
      <c r="B274" t="inlineStr">
        <is>
          <t>avverkningsanmälan</t>
        </is>
      </c>
      <c r="C274" t="inlineStr">
        <is>
          <t>Föryngringsavverkning</t>
        </is>
      </c>
      <c r="D274" s="1" t="n">
        <v>45930</v>
      </c>
      <c r="E274" s="1" t="n">
        <v>46217</v>
      </c>
      <c r="F274" t="inlineStr">
        <is>
          <t>ÖREBRO LÄN</t>
        </is>
      </c>
      <c r="G274" t="inlineStr">
        <is>
          <t>ASKERSUND</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56476-2025</t>
        </is>
      </c>
      <c r="B275" t="inlineStr">
        <is>
          <t>avverkningsanmälan</t>
        </is>
      </c>
      <c r="C275" t="inlineStr">
        <is>
          <t>Föryngringsavverkning</t>
        </is>
      </c>
      <c r="D275" s="1" t="n">
        <v>45975</v>
      </c>
      <c r="E275" s="1" t="n">
        <v>46217</v>
      </c>
      <c r="F275" t="inlineStr">
        <is>
          <t>ÖREBRO LÄN</t>
        </is>
      </c>
      <c r="G275" t="inlineStr">
        <is>
          <t>ASKERSUND</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3883-2024</t>
        </is>
      </c>
      <c r="B276" t="inlineStr">
        <is>
          <t>avverkningsanmälan</t>
        </is>
      </c>
      <c r="C276" t="inlineStr">
        <is>
          <t>Föryngringsavverkning</t>
        </is>
      </c>
      <c r="D276" s="1" t="n">
        <v>45322</v>
      </c>
      <c r="E276" s="1" t="n">
        <v>46217</v>
      </c>
      <c r="F276" t="inlineStr">
        <is>
          <t>ÖREBRO LÄN</t>
        </is>
      </c>
      <c r="G276" t="inlineStr">
        <is>
          <t>ASKERSUND</t>
        </is>
      </c>
      <c r="I276" t="n">
        <v>3.6</v>
      </c>
      <c r="J276" t="n">
        <v>0</v>
      </c>
      <c r="K276" t="n">
        <v>0</v>
      </c>
      <c r="L276" t="n">
        <v>0</v>
      </c>
      <c r="M276" t="n">
        <v>0</v>
      </c>
      <c r="N276" t="n">
        <v>0</v>
      </c>
      <c r="O276" t="n">
        <v>0</v>
      </c>
      <c r="P276" t="n">
        <v>0</v>
      </c>
      <c r="Q276" t="n">
        <v>0</v>
      </c>
      <c r="R276" t="n">
        <v>0</v>
      </c>
      <c r="S276" t="n">
        <v>0</v>
      </c>
      <c r="T276" t="n">
        <v>0</v>
      </c>
      <c r="U276" s="2" t="inlineStr"/>
    </row>
    <row r="277" ht="15" customHeight="1">
      <c r="A277" t="inlineStr">
        <is>
          <t>A 48619-2025</t>
        </is>
      </c>
      <c r="B277" t="inlineStr">
        <is>
          <t>avverkningsanmälan</t>
        </is>
      </c>
      <c r="C277" t="inlineStr">
        <is>
          <t>Avverkning för att bevara och utveckla /försöksver</t>
        </is>
      </c>
      <c r="D277" s="1" t="n">
        <v>45936</v>
      </c>
      <c r="E277" s="1" t="n">
        <v>46217</v>
      </c>
      <c r="F277" t="inlineStr">
        <is>
          <t>ÖREBRO LÄN</t>
        </is>
      </c>
      <c r="G277" t="inlineStr">
        <is>
          <t>ASKERSUND</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28692-2022</t>
        </is>
      </c>
      <c r="B278" t="inlineStr">
        <is>
          <t>avverkningsanmälan</t>
        </is>
      </c>
      <c r="C278" t="inlineStr">
        <is>
          <t>Föryngringsavverkning</t>
        </is>
      </c>
      <c r="D278" s="1" t="n">
        <v>44748</v>
      </c>
      <c r="E278" s="1" t="n">
        <v>46217</v>
      </c>
      <c r="F278" t="inlineStr">
        <is>
          <t>ÖREBRO LÄN</t>
        </is>
      </c>
      <c r="G278" t="inlineStr">
        <is>
          <t>ASKERSUND</t>
        </is>
      </c>
      <c r="I278" t="n">
        <v>10.5</v>
      </c>
      <c r="J278" t="n">
        <v>0</v>
      </c>
      <c r="K278" t="n">
        <v>0</v>
      </c>
      <c r="L278" t="n">
        <v>0</v>
      </c>
      <c r="M278" t="n">
        <v>0</v>
      </c>
      <c r="N278" t="n">
        <v>0</v>
      </c>
      <c r="O278" t="n">
        <v>0</v>
      </c>
      <c r="P278" t="n">
        <v>0</v>
      </c>
      <c r="Q278" t="n">
        <v>0</v>
      </c>
      <c r="R278" t="n">
        <v>0</v>
      </c>
      <c r="S278" t="n">
        <v>0</v>
      </c>
      <c r="T278" t="n">
        <v>0</v>
      </c>
      <c r="U278" s="2" t="inlineStr"/>
    </row>
    <row r="279" ht="15" customHeight="1">
      <c r="A279" t="inlineStr">
        <is>
          <t>A 10204-2025</t>
        </is>
      </c>
      <c r="B279" t="inlineStr">
        <is>
          <t>avverkningsanmälan</t>
        </is>
      </c>
      <c r="C279" t="inlineStr">
        <is>
          <t>Föryngringsavverkning</t>
        </is>
      </c>
      <c r="D279" s="1" t="n">
        <v>45719</v>
      </c>
      <c r="E279" s="1" t="n">
        <v>46217</v>
      </c>
      <c r="F279" t="inlineStr">
        <is>
          <t>ÖREBRO LÄN</t>
        </is>
      </c>
      <c r="G279" t="inlineStr">
        <is>
          <t>ASKERSUND</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54162-2025</t>
        </is>
      </c>
      <c r="B280" t="inlineStr">
        <is>
          <t>avverkningsanmälan</t>
        </is>
      </c>
      <c r="C280" t="inlineStr">
        <is>
          <t>Föryngringsavverkning</t>
        </is>
      </c>
      <c r="D280" s="1" t="n">
        <v>45964</v>
      </c>
      <c r="E280" s="1" t="n">
        <v>46217</v>
      </c>
      <c r="F280" t="inlineStr">
        <is>
          <t>ÖREBRO LÄN</t>
        </is>
      </c>
      <c r="G280" t="inlineStr">
        <is>
          <t>ASKERSUND</t>
        </is>
      </c>
      <c r="H280" t="inlineStr">
        <is>
          <t>Sveaskog</t>
        </is>
      </c>
      <c r="I280" t="n">
        <v>4.6</v>
      </c>
      <c r="J280" t="n">
        <v>0</v>
      </c>
      <c r="K280" t="n">
        <v>0</v>
      </c>
      <c r="L280" t="n">
        <v>0</v>
      </c>
      <c r="M280" t="n">
        <v>0</v>
      </c>
      <c r="N280" t="n">
        <v>0</v>
      </c>
      <c r="O280" t="n">
        <v>0</v>
      </c>
      <c r="P280" t="n">
        <v>0</v>
      </c>
      <c r="Q280" t="n">
        <v>0</v>
      </c>
      <c r="R280" t="n">
        <v>0</v>
      </c>
      <c r="S280" t="n">
        <v>0</v>
      </c>
      <c r="T280" t="n">
        <v>0</v>
      </c>
      <c r="U280" s="2" t="inlineStr"/>
    </row>
    <row r="281" ht="15" customHeight="1">
      <c r="A281" t="inlineStr">
        <is>
          <t>A 26132-2026</t>
        </is>
      </c>
      <c r="B281" t="inlineStr">
        <is>
          <t>avverkningsanmälan</t>
        </is>
      </c>
      <c r="C281" t="inlineStr">
        <is>
          <t>Föryngringsavverkning</t>
        </is>
      </c>
      <c r="D281" s="1" t="n">
        <v>46181</v>
      </c>
      <c r="E281" s="1" t="n">
        <v>46217</v>
      </c>
      <c r="F281" t="inlineStr">
        <is>
          <t>ÖREBRO LÄN</t>
        </is>
      </c>
      <c r="G281" t="inlineStr">
        <is>
          <t>ASKERSUND</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31664-2025</t>
        </is>
      </c>
      <c r="B282" t="inlineStr">
        <is>
          <t>avverkningsanmälan</t>
        </is>
      </c>
      <c r="C282" t="inlineStr">
        <is>
          <t>Föryngringsavverkning</t>
        </is>
      </c>
      <c r="D282" s="1" t="n">
        <v>45834</v>
      </c>
      <c r="E282" s="1" t="n">
        <v>46217</v>
      </c>
      <c r="F282" t="inlineStr">
        <is>
          <t>ÖREBRO LÄN</t>
        </is>
      </c>
      <c r="G282" t="inlineStr">
        <is>
          <t>ASKERSUND</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36503-2021</t>
        </is>
      </c>
      <c r="B283" t="inlineStr">
        <is>
          <t>avverkningsanmälan</t>
        </is>
      </c>
      <c r="C283" t="inlineStr">
        <is>
          <t>Föryngringsavverkning</t>
        </is>
      </c>
      <c r="D283" s="1" t="n">
        <v>44391</v>
      </c>
      <c r="E283" s="1" t="n">
        <v>46217</v>
      </c>
      <c r="F283" t="inlineStr">
        <is>
          <t>ÖREBRO LÄN</t>
        </is>
      </c>
      <c r="G283" t="inlineStr">
        <is>
          <t>ASKERSUND</t>
        </is>
      </c>
      <c r="H283" t="inlineStr">
        <is>
          <t>Sveaskog</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49924-2025</t>
        </is>
      </c>
      <c r="B284" t="inlineStr">
        <is>
          <t>avverkningsanmälan</t>
        </is>
      </c>
      <c r="C284" t="inlineStr">
        <is>
          <t>Föryngringsavverkning</t>
        </is>
      </c>
      <c r="D284" s="1" t="n">
        <v>45940</v>
      </c>
      <c r="E284" s="1" t="n">
        <v>46217</v>
      </c>
      <c r="F284" t="inlineStr">
        <is>
          <t>ÖREBRO LÄN</t>
        </is>
      </c>
      <c r="G284" t="inlineStr">
        <is>
          <t>ASKERSUND</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1119-2026</t>
        </is>
      </c>
      <c r="B285" t="inlineStr">
        <is>
          <t>avverkningsanmälan</t>
        </is>
      </c>
      <c r="C285" t="inlineStr">
        <is>
          <t>Föryngringsavverkning</t>
        </is>
      </c>
      <c r="D285" s="1" t="n">
        <v>46030</v>
      </c>
      <c r="E285" s="1" t="n">
        <v>46217</v>
      </c>
      <c r="F285" t="inlineStr">
        <is>
          <t>ÖREBRO LÄN</t>
        </is>
      </c>
      <c r="G285" t="inlineStr">
        <is>
          <t>ASKERSUND</t>
        </is>
      </c>
      <c r="I285" t="n">
        <v>4.3</v>
      </c>
      <c r="J285" t="n">
        <v>0</v>
      </c>
      <c r="K285" t="n">
        <v>0</v>
      </c>
      <c r="L285" t="n">
        <v>0</v>
      </c>
      <c r="M285" t="n">
        <v>0</v>
      </c>
      <c r="N285" t="n">
        <v>0</v>
      </c>
      <c r="O285" t="n">
        <v>0</v>
      </c>
      <c r="P285" t="n">
        <v>0</v>
      </c>
      <c r="Q285" t="n">
        <v>0</v>
      </c>
      <c r="R285" t="n">
        <v>0</v>
      </c>
      <c r="S285" t="n">
        <v>0</v>
      </c>
      <c r="T285" t="n">
        <v>0</v>
      </c>
      <c r="U285" s="2" t="inlineStr"/>
    </row>
    <row r="286" ht="15" customHeight="1">
      <c r="A286" t="inlineStr">
        <is>
          <t>A 29229-2023</t>
        </is>
      </c>
      <c r="B286" t="inlineStr">
        <is>
          <t>avverkningsanmälan</t>
        </is>
      </c>
      <c r="C286" t="inlineStr">
        <is>
          <t>Föryngringsavverkning</t>
        </is>
      </c>
      <c r="D286" s="1" t="n">
        <v>45105</v>
      </c>
      <c r="E286" s="1" t="n">
        <v>46217</v>
      </c>
      <c r="F286" t="inlineStr">
        <is>
          <t>ÖREBRO LÄN</t>
        </is>
      </c>
      <c r="G286" t="inlineStr">
        <is>
          <t>ASKERSUND</t>
        </is>
      </c>
      <c r="I286" t="n">
        <v>3.2</v>
      </c>
      <c r="J286" t="n">
        <v>0</v>
      </c>
      <c r="K286" t="n">
        <v>0</v>
      </c>
      <c r="L286" t="n">
        <v>0</v>
      </c>
      <c r="M286" t="n">
        <v>0</v>
      </c>
      <c r="N286" t="n">
        <v>0</v>
      </c>
      <c r="O286" t="n">
        <v>0</v>
      </c>
      <c r="P286" t="n">
        <v>0</v>
      </c>
      <c r="Q286" t="n">
        <v>0</v>
      </c>
      <c r="R286" t="n">
        <v>0</v>
      </c>
      <c r="S286" t="n">
        <v>0</v>
      </c>
      <c r="T286" t="n">
        <v>0</v>
      </c>
      <c r="U286" s="2" t="inlineStr"/>
    </row>
    <row r="287" ht="15" customHeight="1">
      <c r="A287" t="inlineStr">
        <is>
          <t>A 32994-2024</t>
        </is>
      </c>
      <c r="B287" t="inlineStr">
        <is>
          <t>avverkningsanmälan</t>
        </is>
      </c>
      <c r="C287" t="inlineStr">
        <is>
          <t>Föryngringsavverkning</t>
        </is>
      </c>
      <c r="D287" s="1" t="n">
        <v>45517</v>
      </c>
      <c r="E287" s="1" t="n">
        <v>46217</v>
      </c>
      <c r="F287" t="inlineStr">
        <is>
          <t>ÖREBRO LÄN</t>
        </is>
      </c>
      <c r="G287" t="inlineStr">
        <is>
          <t>ASKERSUND</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32215-2024</t>
        </is>
      </c>
      <c r="B288" t="inlineStr">
        <is>
          <t>avverkningsanmälan</t>
        </is>
      </c>
      <c r="C288" t="inlineStr">
        <is>
          <t>Föryngringsavverkning</t>
        </is>
      </c>
      <c r="D288" s="1" t="n">
        <v>45511</v>
      </c>
      <c r="E288" s="1" t="n">
        <v>46217</v>
      </c>
      <c r="F288" t="inlineStr">
        <is>
          <t>ÖREBRO LÄN</t>
        </is>
      </c>
      <c r="G288" t="inlineStr">
        <is>
          <t>ASKERSUND</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1360-2022</t>
        </is>
      </c>
      <c r="B289" t="inlineStr">
        <is>
          <t>avverkningsanmälan</t>
        </is>
      </c>
      <c r="C289" t="inlineStr">
        <is>
          <t>Föryngringsavverkning</t>
        </is>
      </c>
      <c r="D289" s="1" t="n">
        <v>44573</v>
      </c>
      <c r="E289" s="1" t="n">
        <v>46217</v>
      </c>
      <c r="F289" t="inlineStr">
        <is>
          <t>ÖREBRO LÄN</t>
        </is>
      </c>
      <c r="G289" t="inlineStr">
        <is>
          <t>ASKERSUND</t>
        </is>
      </c>
      <c r="I289" t="n">
        <v>1.8</v>
      </c>
      <c r="J289" t="n">
        <v>0</v>
      </c>
      <c r="K289" t="n">
        <v>0</v>
      </c>
      <c r="L289" t="n">
        <v>0</v>
      </c>
      <c r="M289" t="n">
        <v>0</v>
      </c>
      <c r="N289" t="n">
        <v>0</v>
      </c>
      <c r="O289" t="n">
        <v>0</v>
      </c>
      <c r="P289" t="n">
        <v>0</v>
      </c>
      <c r="Q289" t="n">
        <v>0</v>
      </c>
      <c r="R289" t="n">
        <v>0</v>
      </c>
      <c r="S289" t="n">
        <v>0</v>
      </c>
      <c r="T289" t="n">
        <v>0</v>
      </c>
      <c r="U289" s="2" t="inlineStr"/>
    </row>
    <row r="290" ht="15" customHeight="1">
      <c r="A290" t="inlineStr">
        <is>
          <t>A 52292-2021</t>
        </is>
      </c>
      <c r="B290" t="inlineStr">
        <is>
          <t>avverkningsanmälan</t>
        </is>
      </c>
      <c r="C290" t="inlineStr">
        <is>
          <t>Föryngringsavverkning</t>
        </is>
      </c>
      <c r="D290" s="1" t="n">
        <v>44463</v>
      </c>
      <c r="E290" s="1" t="n">
        <v>46217</v>
      </c>
      <c r="F290" t="inlineStr">
        <is>
          <t>ÖREBRO LÄN</t>
        </is>
      </c>
      <c r="G290" t="inlineStr">
        <is>
          <t>ASKERSUND</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22805-2023</t>
        </is>
      </c>
      <c r="B291" t="inlineStr">
        <is>
          <t>avverkningsanmälan</t>
        </is>
      </c>
      <c r="C291" t="inlineStr">
        <is>
          <t>Föryngringsavverkning</t>
        </is>
      </c>
      <c r="D291" s="1" t="n">
        <v>45072</v>
      </c>
      <c r="E291" s="1" t="n">
        <v>46217</v>
      </c>
      <c r="F291" t="inlineStr">
        <is>
          <t>ÖREBRO LÄN</t>
        </is>
      </c>
      <c r="G291" t="inlineStr">
        <is>
          <t>ASKERSUND</t>
        </is>
      </c>
      <c r="I291" t="n">
        <v>3</v>
      </c>
      <c r="J291" t="n">
        <v>0</v>
      </c>
      <c r="K291" t="n">
        <v>0</v>
      </c>
      <c r="L291" t="n">
        <v>0</v>
      </c>
      <c r="M291" t="n">
        <v>0</v>
      </c>
      <c r="N291" t="n">
        <v>0</v>
      </c>
      <c r="O291" t="n">
        <v>0</v>
      </c>
      <c r="P291" t="n">
        <v>0</v>
      </c>
      <c r="Q291" t="n">
        <v>0</v>
      </c>
      <c r="R291" t="n">
        <v>0</v>
      </c>
      <c r="S291" t="n">
        <v>0</v>
      </c>
      <c r="T291" t="n">
        <v>0</v>
      </c>
      <c r="U291" s="2" t="inlineStr"/>
    </row>
    <row r="292" ht="15" customHeight="1">
      <c r="A292" t="inlineStr">
        <is>
          <t>A 14497-2025</t>
        </is>
      </c>
      <c r="B292" t="inlineStr">
        <is>
          <t>avverkningsanmälan</t>
        </is>
      </c>
      <c r="C292" t="inlineStr">
        <is>
          <t>Föryngringsavverkning</t>
        </is>
      </c>
      <c r="D292" s="1" t="n">
        <v>45741</v>
      </c>
      <c r="E292" s="1" t="n">
        <v>46217</v>
      </c>
      <c r="F292" t="inlineStr">
        <is>
          <t>ÖREBRO LÄN</t>
        </is>
      </c>
      <c r="G292" t="inlineStr">
        <is>
          <t>ASKERSUND</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58420-2021</t>
        </is>
      </c>
      <c r="B293" t="inlineStr">
        <is>
          <t>avverkningsanmälan</t>
        </is>
      </c>
      <c r="C293" t="inlineStr">
        <is>
          <t>Föryngringsavverkning</t>
        </is>
      </c>
      <c r="D293" s="1" t="n">
        <v>44488</v>
      </c>
      <c r="E293" s="1" t="n">
        <v>46217</v>
      </c>
      <c r="F293" t="inlineStr">
        <is>
          <t>ÖREBRO LÄN</t>
        </is>
      </c>
      <c r="G293" t="inlineStr">
        <is>
          <t>ASKERSUND</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53286-2025</t>
        </is>
      </c>
      <c r="B294" t="inlineStr">
        <is>
          <t>avverkningsanmälan</t>
        </is>
      </c>
      <c r="C294" t="inlineStr">
        <is>
          <t>Föryngringsavverkning</t>
        </is>
      </c>
      <c r="D294" s="1" t="n">
        <v>45958</v>
      </c>
      <c r="E294" s="1" t="n">
        <v>46217</v>
      </c>
      <c r="F294" t="inlineStr">
        <is>
          <t>ÖREBRO LÄN</t>
        </is>
      </c>
      <c r="G294" t="inlineStr">
        <is>
          <t>ASKERSUND</t>
        </is>
      </c>
      <c r="H294" t="inlineStr">
        <is>
          <t>Övriga Aktiebolag</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5518-2022</t>
        </is>
      </c>
      <c r="B295" t="inlineStr">
        <is>
          <t>avverkningsanmälan</t>
        </is>
      </c>
      <c r="C295" t="inlineStr">
        <is>
          <t>Föryngringsavverkning</t>
        </is>
      </c>
      <c r="D295" s="1" t="n">
        <v>44595</v>
      </c>
      <c r="E295" s="1" t="n">
        <v>46217</v>
      </c>
      <c r="F295" t="inlineStr">
        <is>
          <t>ÖREBRO LÄN</t>
        </is>
      </c>
      <c r="G295" t="inlineStr">
        <is>
          <t>ASKERSUND</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29235-2023</t>
        </is>
      </c>
      <c r="B296" t="inlineStr">
        <is>
          <t>avverkningsanmälan</t>
        </is>
      </c>
      <c r="C296" t="inlineStr">
        <is>
          <t>Föryngringsavverkning</t>
        </is>
      </c>
      <c r="D296" s="1" t="n">
        <v>45105</v>
      </c>
      <c r="E296" s="1" t="n">
        <v>46217</v>
      </c>
      <c r="F296" t="inlineStr">
        <is>
          <t>ÖREBRO LÄN</t>
        </is>
      </c>
      <c r="G296" t="inlineStr">
        <is>
          <t>ASKERSUND</t>
        </is>
      </c>
      <c r="I296" t="n">
        <v>1.5</v>
      </c>
      <c r="J296" t="n">
        <v>0</v>
      </c>
      <c r="K296" t="n">
        <v>0</v>
      </c>
      <c r="L296" t="n">
        <v>0</v>
      </c>
      <c r="M296" t="n">
        <v>0</v>
      </c>
      <c r="N296" t="n">
        <v>0</v>
      </c>
      <c r="O296" t="n">
        <v>0</v>
      </c>
      <c r="P296" t="n">
        <v>0</v>
      </c>
      <c r="Q296" t="n">
        <v>0</v>
      </c>
      <c r="R296" t="n">
        <v>0</v>
      </c>
      <c r="S296" t="n">
        <v>0</v>
      </c>
      <c r="T296" t="n">
        <v>0</v>
      </c>
      <c r="U296" s="2" t="inlineStr"/>
    </row>
    <row r="297" ht="15" customHeight="1">
      <c r="A297" t="inlineStr">
        <is>
          <t>A 54169-2025</t>
        </is>
      </c>
      <c r="B297" t="inlineStr">
        <is>
          <t>avverkningsanmälan</t>
        </is>
      </c>
      <c r="C297" t="inlineStr">
        <is>
          <t>Föryngringsavverkning</t>
        </is>
      </c>
      <c r="D297" s="1" t="n">
        <v>45964</v>
      </c>
      <c r="E297" s="1" t="n">
        <v>46217</v>
      </c>
      <c r="F297" t="inlineStr">
        <is>
          <t>ÖREBRO LÄN</t>
        </is>
      </c>
      <c r="G297" t="inlineStr">
        <is>
          <t>ASKERSUND</t>
        </is>
      </c>
      <c r="H297" t="inlineStr">
        <is>
          <t>Sveaskog</t>
        </is>
      </c>
      <c r="I297" t="n">
        <v>2.3</v>
      </c>
      <c r="J297" t="n">
        <v>0</v>
      </c>
      <c r="K297" t="n">
        <v>0</v>
      </c>
      <c r="L297" t="n">
        <v>0</v>
      </c>
      <c r="M297" t="n">
        <v>0</v>
      </c>
      <c r="N297" t="n">
        <v>0</v>
      </c>
      <c r="O297" t="n">
        <v>0</v>
      </c>
      <c r="P297" t="n">
        <v>0</v>
      </c>
      <c r="Q297" t="n">
        <v>0</v>
      </c>
      <c r="R297" t="n">
        <v>0</v>
      </c>
      <c r="S297" t="n">
        <v>0</v>
      </c>
      <c r="T297" t="n">
        <v>0</v>
      </c>
      <c r="U297" s="2" t="inlineStr"/>
    </row>
    <row r="298" ht="15" customHeight="1">
      <c r="A298" t="inlineStr">
        <is>
          <t>A 54142-2025</t>
        </is>
      </c>
      <c r="B298" t="inlineStr">
        <is>
          <t>avverkningsanmälan</t>
        </is>
      </c>
      <c r="C298" t="inlineStr">
        <is>
          <t>Föryngringsavverkning</t>
        </is>
      </c>
      <c r="D298" s="1" t="n">
        <v>45964</v>
      </c>
      <c r="E298" s="1" t="n">
        <v>46217</v>
      </c>
      <c r="F298" t="inlineStr">
        <is>
          <t>ÖREBRO LÄN</t>
        </is>
      </c>
      <c r="G298" t="inlineStr">
        <is>
          <t>ASKERSUND</t>
        </is>
      </c>
      <c r="H298" t="inlineStr">
        <is>
          <t>Sveaskog</t>
        </is>
      </c>
      <c r="I298" t="n">
        <v>9.4</v>
      </c>
      <c r="J298" t="n">
        <v>0</v>
      </c>
      <c r="K298" t="n">
        <v>0</v>
      </c>
      <c r="L298" t="n">
        <v>0</v>
      </c>
      <c r="M298" t="n">
        <v>0</v>
      </c>
      <c r="N298" t="n">
        <v>0</v>
      </c>
      <c r="O298" t="n">
        <v>0</v>
      </c>
      <c r="P298" t="n">
        <v>0</v>
      </c>
      <c r="Q298" t="n">
        <v>0</v>
      </c>
      <c r="R298" t="n">
        <v>0</v>
      </c>
      <c r="S298" t="n">
        <v>0</v>
      </c>
      <c r="T298" t="n">
        <v>0</v>
      </c>
      <c r="U298" s="2" t="inlineStr"/>
    </row>
    <row r="299" ht="15" customHeight="1">
      <c r="A299" t="inlineStr">
        <is>
          <t>A 54170-2025</t>
        </is>
      </c>
      <c r="B299" t="inlineStr">
        <is>
          <t>avverkningsanmälan</t>
        </is>
      </c>
      <c r="C299" t="inlineStr">
        <is>
          <t>Föryngringsavverkning</t>
        </is>
      </c>
      <c r="D299" s="1" t="n">
        <v>45964</v>
      </c>
      <c r="E299" s="1" t="n">
        <v>46217</v>
      </c>
      <c r="F299" t="inlineStr">
        <is>
          <t>ÖREBRO LÄN</t>
        </is>
      </c>
      <c r="G299" t="inlineStr">
        <is>
          <t>ASKERSUND</t>
        </is>
      </c>
      <c r="H299" t="inlineStr">
        <is>
          <t>Sveaskog</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48389-2025</t>
        </is>
      </c>
      <c r="B300" t="inlineStr">
        <is>
          <t>avverkningsanmälan</t>
        </is>
      </c>
      <c r="C300" t="inlineStr">
        <is>
          <t>Föryngringsavverkning</t>
        </is>
      </c>
      <c r="D300" s="1" t="n">
        <v>45933</v>
      </c>
      <c r="E300" s="1" t="n">
        <v>46217</v>
      </c>
      <c r="F300" t="inlineStr">
        <is>
          <t>ÖREBRO LÄN</t>
        </is>
      </c>
      <c r="G300" t="inlineStr">
        <is>
          <t>ASKERSUND</t>
        </is>
      </c>
      <c r="H300" t="inlineStr">
        <is>
          <t>Sveaskog</t>
        </is>
      </c>
      <c r="I300" t="n">
        <v>5.1</v>
      </c>
      <c r="J300" t="n">
        <v>0</v>
      </c>
      <c r="K300" t="n">
        <v>0</v>
      </c>
      <c r="L300" t="n">
        <v>0</v>
      </c>
      <c r="M300" t="n">
        <v>0</v>
      </c>
      <c r="N300" t="n">
        <v>0</v>
      </c>
      <c r="O300" t="n">
        <v>0</v>
      </c>
      <c r="P300" t="n">
        <v>0</v>
      </c>
      <c r="Q300" t="n">
        <v>0</v>
      </c>
      <c r="R300" t="n">
        <v>0</v>
      </c>
      <c r="S300" t="n">
        <v>0</v>
      </c>
      <c r="T300" t="n">
        <v>0</v>
      </c>
      <c r="U300" s="2" t="inlineStr"/>
    </row>
    <row r="301" ht="15" customHeight="1">
      <c r="A301" t="inlineStr">
        <is>
          <t>A 32038-2024</t>
        </is>
      </c>
      <c r="B301" t="inlineStr">
        <is>
          <t>avverkningsanmälan</t>
        </is>
      </c>
      <c r="C301" t="inlineStr">
        <is>
          <t>Föryngringsavverkning</t>
        </is>
      </c>
      <c r="D301" s="1" t="n">
        <v>45510</v>
      </c>
      <c r="E301" s="1" t="n">
        <v>46217</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16642-2023</t>
        </is>
      </c>
      <c r="B302" t="inlineStr">
        <is>
          <t>avverkningsanmälan</t>
        </is>
      </c>
      <c r="C302" t="inlineStr">
        <is>
          <t>Föryngringsavverkning</t>
        </is>
      </c>
      <c r="D302" s="1" t="n">
        <v>45030</v>
      </c>
      <c r="E302" s="1" t="n">
        <v>46217</v>
      </c>
      <c r="F302" t="inlineStr">
        <is>
          <t>ÖREBRO LÄN</t>
        </is>
      </c>
      <c r="G302" t="inlineStr">
        <is>
          <t>ASKERSUND</t>
        </is>
      </c>
      <c r="I302" t="n">
        <v>7.9</v>
      </c>
      <c r="J302" t="n">
        <v>0</v>
      </c>
      <c r="K302" t="n">
        <v>0</v>
      </c>
      <c r="L302" t="n">
        <v>0</v>
      </c>
      <c r="M302" t="n">
        <v>0</v>
      </c>
      <c r="N302" t="n">
        <v>0</v>
      </c>
      <c r="O302" t="n">
        <v>0</v>
      </c>
      <c r="P302" t="n">
        <v>0</v>
      </c>
      <c r="Q302" t="n">
        <v>0</v>
      </c>
      <c r="R302" t="n">
        <v>0</v>
      </c>
      <c r="S302" t="n">
        <v>0</v>
      </c>
      <c r="T302" t="n">
        <v>0</v>
      </c>
      <c r="U302" s="2" t="inlineStr"/>
    </row>
    <row r="303" ht="15" customHeight="1">
      <c r="A303" t="inlineStr">
        <is>
          <t>A 44972-2021</t>
        </is>
      </c>
      <c r="B303" t="inlineStr">
        <is>
          <t>avverkningsanmälan</t>
        </is>
      </c>
      <c r="C303" t="inlineStr">
        <is>
          <t>Föryngringsavverkning</t>
        </is>
      </c>
      <c r="D303" s="1" t="n">
        <v>44438</v>
      </c>
      <c r="E303" s="1" t="n">
        <v>46217</v>
      </c>
      <c r="F303" t="inlineStr">
        <is>
          <t>ÖREBRO LÄN</t>
        </is>
      </c>
      <c r="G303" t="inlineStr">
        <is>
          <t>ASKERSUND</t>
        </is>
      </c>
      <c r="I303" t="n">
        <v>6.8</v>
      </c>
      <c r="J303" t="n">
        <v>0</v>
      </c>
      <c r="K303" t="n">
        <v>0</v>
      </c>
      <c r="L303" t="n">
        <v>0</v>
      </c>
      <c r="M303" t="n">
        <v>0</v>
      </c>
      <c r="N303" t="n">
        <v>0</v>
      </c>
      <c r="O303" t="n">
        <v>0</v>
      </c>
      <c r="P303" t="n">
        <v>0</v>
      </c>
      <c r="Q303" t="n">
        <v>0</v>
      </c>
      <c r="R303" t="n">
        <v>0</v>
      </c>
      <c r="S303" t="n">
        <v>0</v>
      </c>
      <c r="T303" t="n">
        <v>0</v>
      </c>
      <c r="U303" s="2" t="inlineStr"/>
    </row>
    <row r="304" ht="15" customHeight="1">
      <c r="A304" t="inlineStr">
        <is>
          <t>A 9327-2025</t>
        </is>
      </c>
      <c r="B304" t="inlineStr">
        <is>
          <t>avverkningsanmälan</t>
        </is>
      </c>
      <c r="C304" t="inlineStr">
        <is>
          <t>Föryngringsavverkning</t>
        </is>
      </c>
      <c r="D304" s="1" t="n">
        <v>45714</v>
      </c>
      <c r="E304" s="1" t="n">
        <v>46217</v>
      </c>
      <c r="F304" t="inlineStr">
        <is>
          <t>ÖREBRO LÄN</t>
        </is>
      </c>
      <c r="G304" t="inlineStr">
        <is>
          <t>ASKERSUND</t>
        </is>
      </c>
      <c r="I304" t="n">
        <v>17.4</v>
      </c>
      <c r="J304" t="n">
        <v>0</v>
      </c>
      <c r="K304" t="n">
        <v>0</v>
      </c>
      <c r="L304" t="n">
        <v>0</v>
      </c>
      <c r="M304" t="n">
        <v>0</v>
      </c>
      <c r="N304" t="n">
        <v>0</v>
      </c>
      <c r="O304" t="n">
        <v>0</v>
      </c>
      <c r="P304" t="n">
        <v>0</v>
      </c>
      <c r="Q304" t="n">
        <v>0</v>
      </c>
      <c r="R304" t="n">
        <v>0</v>
      </c>
      <c r="S304" t="n">
        <v>0</v>
      </c>
      <c r="T304" t="n">
        <v>0</v>
      </c>
      <c r="U304" s="2" t="inlineStr"/>
    </row>
    <row r="305" ht="15" customHeight="1">
      <c r="A305" t="inlineStr">
        <is>
          <t>A 8047-2025</t>
        </is>
      </c>
      <c r="B305" t="inlineStr">
        <is>
          <t>avverkningsanmälan</t>
        </is>
      </c>
      <c r="C305" t="inlineStr">
        <is>
          <t>Föryngringsavverkning</t>
        </is>
      </c>
      <c r="D305" s="1" t="n">
        <v>45707</v>
      </c>
      <c r="E305" s="1" t="n">
        <v>46217</v>
      </c>
      <c r="F305" t="inlineStr">
        <is>
          <t>ÖREBRO LÄN</t>
        </is>
      </c>
      <c r="G305" t="inlineStr">
        <is>
          <t>ASKERSUND</t>
        </is>
      </c>
      <c r="H305" t="inlineStr">
        <is>
          <t>Sveaskog</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20918-2026</t>
        </is>
      </c>
      <c r="B306" t="inlineStr">
        <is>
          <t>avverkningsanmälan</t>
        </is>
      </c>
      <c r="C306" t="inlineStr">
        <is>
          <t>Föryngringsavverkning</t>
        </is>
      </c>
      <c r="D306" s="1" t="n">
        <v>46142</v>
      </c>
      <c r="E306" s="1" t="n">
        <v>46217</v>
      </c>
      <c r="F306" t="inlineStr">
        <is>
          <t>ÖREBRO LÄN</t>
        </is>
      </c>
      <c r="G306" t="inlineStr">
        <is>
          <t>ASKERSUND</t>
        </is>
      </c>
      <c r="H306" t="inlineStr">
        <is>
          <t>Sveaskog</t>
        </is>
      </c>
      <c r="I306" t="n">
        <v>1.8</v>
      </c>
      <c r="J306" t="n">
        <v>0</v>
      </c>
      <c r="K306" t="n">
        <v>0</v>
      </c>
      <c r="L306" t="n">
        <v>0</v>
      </c>
      <c r="M306" t="n">
        <v>0</v>
      </c>
      <c r="N306" t="n">
        <v>0</v>
      </c>
      <c r="O306" t="n">
        <v>0</v>
      </c>
      <c r="P306" t="n">
        <v>0</v>
      </c>
      <c r="Q306" t="n">
        <v>0</v>
      </c>
      <c r="R306" t="n">
        <v>0</v>
      </c>
      <c r="S306" t="n">
        <v>0</v>
      </c>
      <c r="T306" t="n">
        <v>0</v>
      </c>
      <c r="U306" s="2" t="inlineStr"/>
    </row>
    <row r="307" ht="15" customHeight="1">
      <c r="A307" t="inlineStr">
        <is>
          <t>A 56221-2025</t>
        </is>
      </c>
      <c r="B307" t="inlineStr">
        <is>
          <t>avverkningsanmälan</t>
        </is>
      </c>
      <c r="C307" t="inlineStr">
        <is>
          <t>Föryngringsavverkning</t>
        </is>
      </c>
      <c r="D307" s="1" t="n">
        <v>45974</v>
      </c>
      <c r="E307" s="1" t="n">
        <v>46217</v>
      </c>
      <c r="F307" t="inlineStr">
        <is>
          <t>ÖREBRO LÄN</t>
        </is>
      </c>
      <c r="G307" t="inlineStr">
        <is>
          <t>ASKERSUND</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48869-2022</t>
        </is>
      </c>
      <c r="B308" t="inlineStr">
        <is>
          <t>avverkningsanmälan</t>
        </is>
      </c>
      <c r="C308" t="inlineStr">
        <is>
          <t>Föryngringsavverkning</t>
        </is>
      </c>
      <c r="D308" s="1" t="n">
        <v>44859</v>
      </c>
      <c r="E308" s="1" t="n">
        <v>46217</v>
      </c>
      <c r="F308" t="inlineStr">
        <is>
          <t>ÖREBRO LÄN</t>
        </is>
      </c>
      <c r="G308" t="inlineStr">
        <is>
          <t>ASKERSUND</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13902-2024</t>
        </is>
      </c>
      <c r="B309" t="inlineStr">
        <is>
          <t>avverkningsanmälan</t>
        </is>
      </c>
      <c r="C309" t="inlineStr">
        <is>
          <t>Föryngringsavverkning</t>
        </is>
      </c>
      <c r="D309" s="1" t="n">
        <v>45391</v>
      </c>
      <c r="E309" s="1" t="n">
        <v>46217</v>
      </c>
      <c r="F309" t="inlineStr">
        <is>
          <t>ÖREBRO LÄN</t>
        </is>
      </c>
      <c r="G309" t="inlineStr">
        <is>
          <t>ASKERSUND</t>
        </is>
      </c>
      <c r="I309" t="n">
        <v>5</v>
      </c>
      <c r="J309" t="n">
        <v>0</v>
      </c>
      <c r="K309" t="n">
        <v>0</v>
      </c>
      <c r="L309" t="n">
        <v>0</v>
      </c>
      <c r="M309" t="n">
        <v>0</v>
      </c>
      <c r="N309" t="n">
        <v>0</v>
      </c>
      <c r="O309" t="n">
        <v>0</v>
      </c>
      <c r="P309" t="n">
        <v>0</v>
      </c>
      <c r="Q309" t="n">
        <v>0</v>
      </c>
      <c r="R309" t="n">
        <v>0</v>
      </c>
      <c r="S309" t="n">
        <v>0</v>
      </c>
      <c r="T309" t="n">
        <v>0</v>
      </c>
      <c r="U309" s="2" t="inlineStr"/>
    </row>
    <row r="310" ht="15" customHeight="1">
      <c r="A310" t="inlineStr">
        <is>
          <t>A 31506-2023</t>
        </is>
      </c>
      <c r="B310" t="inlineStr">
        <is>
          <t>avverkningsanmälan</t>
        </is>
      </c>
      <c r="C310" t="inlineStr">
        <is>
          <t>Föryngringsavverkning</t>
        </is>
      </c>
      <c r="D310" s="1" t="n">
        <v>45115</v>
      </c>
      <c r="E310" s="1" t="n">
        <v>46217</v>
      </c>
      <c r="F310" t="inlineStr">
        <is>
          <t>ÖREBRO LÄN</t>
        </is>
      </c>
      <c r="G310" t="inlineStr">
        <is>
          <t>ASKERSUND</t>
        </is>
      </c>
      <c r="H310" t="inlineStr">
        <is>
          <t>Sveaskog</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31509-2023</t>
        </is>
      </c>
      <c r="B311" t="inlineStr">
        <is>
          <t>avverkningsanmälan</t>
        </is>
      </c>
      <c r="C311" t="inlineStr">
        <is>
          <t>Föryngringsavverkning</t>
        </is>
      </c>
      <c r="D311" s="1" t="n">
        <v>45115</v>
      </c>
      <c r="E311" s="1" t="n">
        <v>46217</v>
      </c>
      <c r="F311" t="inlineStr">
        <is>
          <t>ÖREBRO LÄN</t>
        </is>
      </c>
      <c r="G311" t="inlineStr">
        <is>
          <t>ASKERSUND</t>
        </is>
      </c>
      <c r="H311" t="inlineStr">
        <is>
          <t>Sveaskog</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20893-2026</t>
        </is>
      </c>
      <c r="B312" t="inlineStr">
        <is>
          <t>avverkningsanmälan</t>
        </is>
      </c>
      <c r="C312" t="inlineStr">
        <is>
          <t>Föryngringsavverkning</t>
        </is>
      </c>
      <c r="D312" s="1" t="n">
        <v>46142</v>
      </c>
      <c r="E312" s="1" t="n">
        <v>46217</v>
      </c>
      <c r="F312" t="inlineStr">
        <is>
          <t>ÖREBRO LÄN</t>
        </is>
      </c>
      <c r="G312" t="inlineStr">
        <is>
          <t>ASKERSUND</t>
        </is>
      </c>
      <c r="H312" t="inlineStr">
        <is>
          <t>Sveaskog</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7730-2022</t>
        </is>
      </c>
      <c r="B313" t="inlineStr">
        <is>
          <t>avverkningsanmälan</t>
        </is>
      </c>
      <c r="C313" t="inlineStr">
        <is>
          <t>Föryngringsavverkning</t>
        </is>
      </c>
      <c r="D313" s="1" t="n">
        <v>44608</v>
      </c>
      <c r="E313" s="1" t="n">
        <v>46217</v>
      </c>
      <c r="F313" t="inlineStr">
        <is>
          <t>ÖREBRO LÄN</t>
        </is>
      </c>
      <c r="G313" t="inlineStr">
        <is>
          <t>ASKERSUND</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58726-2025</t>
        </is>
      </c>
      <c r="B314" t="inlineStr">
        <is>
          <t>avverkningsanmälan</t>
        </is>
      </c>
      <c r="C314" t="inlineStr">
        <is>
          <t>Föryngringsavverkning</t>
        </is>
      </c>
      <c r="D314" s="1" t="n">
        <v>45986</v>
      </c>
      <c r="E314" s="1" t="n">
        <v>46217</v>
      </c>
      <c r="F314" t="inlineStr">
        <is>
          <t>ÖREBRO LÄN</t>
        </is>
      </c>
      <c r="G314" t="inlineStr">
        <is>
          <t>ASKERSUND</t>
        </is>
      </c>
      <c r="I314" t="n">
        <v>2.1</v>
      </c>
      <c r="J314" t="n">
        <v>0</v>
      </c>
      <c r="K314" t="n">
        <v>0</v>
      </c>
      <c r="L314" t="n">
        <v>0</v>
      </c>
      <c r="M314" t="n">
        <v>0</v>
      </c>
      <c r="N314" t="n">
        <v>0</v>
      </c>
      <c r="O314" t="n">
        <v>0</v>
      </c>
      <c r="P314" t="n">
        <v>0</v>
      </c>
      <c r="Q314" t="n">
        <v>0</v>
      </c>
      <c r="R314" t="n">
        <v>0</v>
      </c>
      <c r="S314" t="n">
        <v>0</v>
      </c>
      <c r="T314" t="n">
        <v>0</v>
      </c>
      <c r="U314" s="2" t="inlineStr"/>
    </row>
    <row r="315" ht="15" customHeight="1">
      <c r="A315" t="inlineStr">
        <is>
          <t>A 20916-2026</t>
        </is>
      </c>
      <c r="B315" t="inlineStr">
        <is>
          <t>avverkningsanmälan</t>
        </is>
      </c>
      <c r="C315" t="inlineStr">
        <is>
          <t>Föryngringsavverkning</t>
        </is>
      </c>
      <c r="D315" s="1" t="n">
        <v>46142</v>
      </c>
      <c r="E315" s="1" t="n">
        <v>46217</v>
      </c>
      <c r="F315" t="inlineStr">
        <is>
          <t>ÖREBRO LÄN</t>
        </is>
      </c>
      <c r="G315" t="inlineStr">
        <is>
          <t>ASKERSUND</t>
        </is>
      </c>
      <c r="H315" t="inlineStr">
        <is>
          <t>Sveaskog</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20902-2026</t>
        </is>
      </c>
      <c r="B316" t="inlineStr">
        <is>
          <t>avverkningsanmälan</t>
        </is>
      </c>
      <c r="C316" t="inlineStr">
        <is>
          <t>Föryngringsavverkning</t>
        </is>
      </c>
      <c r="D316" s="1" t="n">
        <v>46142</v>
      </c>
      <c r="E316" s="1" t="n">
        <v>46217</v>
      </c>
      <c r="F316" t="inlineStr">
        <is>
          <t>ÖREBRO LÄN</t>
        </is>
      </c>
      <c r="G316" t="inlineStr">
        <is>
          <t>ASKERSUND</t>
        </is>
      </c>
      <c r="H316" t="inlineStr">
        <is>
          <t>Sveaskog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27258-2026</t>
        </is>
      </c>
      <c r="B317" t="inlineStr">
        <is>
          <t>avverkningsanmälan</t>
        </is>
      </c>
      <c r="C317" t="inlineStr">
        <is>
          <t>Föryngringsavverkning</t>
        </is>
      </c>
      <c r="D317" s="1" t="n">
        <v>46184</v>
      </c>
      <c r="E317" s="1" t="n">
        <v>46217</v>
      </c>
      <c r="F317" t="inlineStr">
        <is>
          <t>ÖREBRO LÄN</t>
        </is>
      </c>
      <c r="G317" t="inlineStr">
        <is>
          <t>ASKERSUND</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27027-2026</t>
        </is>
      </c>
      <c r="B318" t="inlineStr">
        <is>
          <t>avverkningsanmälan</t>
        </is>
      </c>
      <c r="C318" t="inlineStr">
        <is>
          <t>Föryngringsavverkning</t>
        </is>
      </c>
      <c r="D318" s="1" t="n">
        <v>46185</v>
      </c>
      <c r="E318" s="1" t="n">
        <v>46217</v>
      </c>
      <c r="F318" t="inlineStr">
        <is>
          <t>ÖREBRO LÄN</t>
        </is>
      </c>
      <c r="G318" t="inlineStr">
        <is>
          <t>ASKERSUND</t>
        </is>
      </c>
      <c r="H318" t="inlineStr">
        <is>
          <t>Sveaskog</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27031-2026</t>
        </is>
      </c>
      <c r="B319" t="inlineStr">
        <is>
          <t>avverkningsanmälan</t>
        </is>
      </c>
      <c r="C319" t="inlineStr">
        <is>
          <t>Föryngringsavverkning</t>
        </is>
      </c>
      <c r="D319" s="1" t="n">
        <v>46185</v>
      </c>
      <c r="E319" s="1" t="n">
        <v>46217</v>
      </c>
      <c r="F319" t="inlineStr">
        <is>
          <t>ÖREBRO LÄN</t>
        </is>
      </c>
      <c r="G319" t="inlineStr">
        <is>
          <t>ASKERSUND</t>
        </is>
      </c>
      <c r="H319" t="inlineStr">
        <is>
          <t>Sveaskog</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27021-2026</t>
        </is>
      </c>
      <c r="B320" t="inlineStr">
        <is>
          <t>avverkningsanmälan</t>
        </is>
      </c>
      <c r="C320" t="inlineStr">
        <is>
          <t>Föryngringsavverkning</t>
        </is>
      </c>
      <c r="D320" s="1" t="n">
        <v>46185</v>
      </c>
      <c r="E320" s="1" t="n">
        <v>46217</v>
      </c>
      <c r="F320" t="inlineStr">
        <is>
          <t>ÖREBRO LÄN</t>
        </is>
      </c>
      <c r="G320" t="inlineStr">
        <is>
          <t>ASKERSUND</t>
        </is>
      </c>
      <c r="H320" t="inlineStr">
        <is>
          <t>Sveaskog</t>
        </is>
      </c>
      <c r="I320" t="n">
        <v>2</v>
      </c>
      <c r="J320" t="n">
        <v>0</v>
      </c>
      <c r="K320" t="n">
        <v>0</v>
      </c>
      <c r="L320" t="n">
        <v>0</v>
      </c>
      <c r="M320" t="n">
        <v>0</v>
      </c>
      <c r="N320" t="n">
        <v>0</v>
      </c>
      <c r="O320" t="n">
        <v>0</v>
      </c>
      <c r="P320" t="n">
        <v>0</v>
      </c>
      <c r="Q320" t="n">
        <v>0</v>
      </c>
      <c r="R320" t="n">
        <v>0</v>
      </c>
      <c r="S320" t="n">
        <v>0</v>
      </c>
      <c r="T320" t="n">
        <v>0</v>
      </c>
      <c r="U320" s="2" t="inlineStr"/>
    </row>
    <row r="321" ht="15" customHeight="1">
      <c r="A321" t="inlineStr">
        <is>
          <t>A 25994-2026</t>
        </is>
      </c>
      <c r="B321" t="inlineStr">
        <is>
          <t>avverkningsanmälan</t>
        </is>
      </c>
      <c r="C321" t="inlineStr">
        <is>
          <t>Föryngringsavverkning</t>
        </is>
      </c>
      <c r="D321" s="1" t="n">
        <v>46181</v>
      </c>
      <c r="E321" s="1" t="n">
        <v>46217</v>
      </c>
      <c r="F321" t="inlineStr">
        <is>
          <t>ÖREBRO LÄN</t>
        </is>
      </c>
      <c r="G321" t="inlineStr">
        <is>
          <t>ASKERSUND</t>
        </is>
      </c>
      <c r="I321" t="n">
        <v>3.1</v>
      </c>
      <c r="J321" t="n">
        <v>0</v>
      </c>
      <c r="K321" t="n">
        <v>0</v>
      </c>
      <c r="L321" t="n">
        <v>0</v>
      </c>
      <c r="M321" t="n">
        <v>0</v>
      </c>
      <c r="N321" t="n">
        <v>0</v>
      </c>
      <c r="O321" t="n">
        <v>0</v>
      </c>
      <c r="P321" t="n">
        <v>0</v>
      </c>
      <c r="Q321" t="n">
        <v>0</v>
      </c>
      <c r="R321" t="n">
        <v>0</v>
      </c>
      <c r="S321" t="n">
        <v>0</v>
      </c>
      <c r="T321" t="n">
        <v>0</v>
      </c>
      <c r="U321" s="2" t="inlineStr"/>
    </row>
    <row r="322" ht="15" customHeight="1">
      <c r="A322" t="inlineStr">
        <is>
          <t>A 27241-2026</t>
        </is>
      </c>
      <c r="B322" t="inlineStr">
        <is>
          <t>avverkningsanmälan</t>
        </is>
      </c>
      <c r="C322" t="inlineStr">
        <is>
          <t>Föryngringsavverkning</t>
        </is>
      </c>
      <c r="D322" s="1" t="n">
        <v>46184</v>
      </c>
      <c r="E322" s="1" t="n">
        <v>46217</v>
      </c>
      <c r="F322" t="inlineStr">
        <is>
          <t>ÖREBRO LÄN</t>
        </is>
      </c>
      <c r="G322" t="inlineStr">
        <is>
          <t>ASKERSUND</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27515-2026</t>
        </is>
      </c>
      <c r="B323" t="inlineStr">
        <is>
          <t>avverkningsanmälan</t>
        </is>
      </c>
      <c r="C323" t="inlineStr">
        <is>
          <t>Föryngringsavverkning</t>
        </is>
      </c>
      <c r="D323" s="1" t="n">
        <v>46189</v>
      </c>
      <c r="E323" s="1" t="n">
        <v>46217</v>
      </c>
      <c r="F323" t="inlineStr">
        <is>
          <t>ÖREBRO LÄN</t>
        </is>
      </c>
      <c r="G323" t="inlineStr">
        <is>
          <t>ASKERSUND</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27516-2026</t>
        </is>
      </c>
      <c r="B324" t="inlineStr">
        <is>
          <t>avverkningsanmälan</t>
        </is>
      </c>
      <c r="C324" t="inlineStr">
        <is>
          <t>Föryngringsavverkning</t>
        </is>
      </c>
      <c r="D324" s="1" t="n">
        <v>46189</v>
      </c>
      <c r="E324" s="1" t="n">
        <v>46217</v>
      </c>
      <c r="F324" t="inlineStr">
        <is>
          <t>ÖREBRO LÄN</t>
        </is>
      </c>
      <c r="G324" t="inlineStr">
        <is>
          <t>ASKERSUND</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27512-2026</t>
        </is>
      </c>
      <c r="B325" t="inlineStr">
        <is>
          <t>avverkningsanmälan</t>
        </is>
      </c>
      <c r="C325" t="inlineStr">
        <is>
          <t>Föryngringsavverkning</t>
        </is>
      </c>
      <c r="D325" s="1" t="n">
        <v>46189</v>
      </c>
      <c r="E325" s="1" t="n">
        <v>46217</v>
      </c>
      <c r="F325" t="inlineStr">
        <is>
          <t>ÖREBRO LÄN</t>
        </is>
      </c>
      <c r="G325" t="inlineStr">
        <is>
          <t>ASKERSUND</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62584-2021</t>
        </is>
      </c>
      <c r="B326" t="inlineStr">
        <is>
          <t>avverkningsanmälan</t>
        </is>
      </c>
      <c r="C326" t="inlineStr">
        <is>
          <t>Föryngringsavverkning</t>
        </is>
      </c>
      <c r="D326" s="1" t="n">
        <v>44503</v>
      </c>
      <c r="E326" s="1" t="n">
        <v>46217</v>
      </c>
      <c r="F326" t="inlineStr">
        <is>
          <t>ÖREBRO LÄN</t>
        </is>
      </c>
      <c r="G326" t="inlineStr">
        <is>
          <t>ASKERSUND</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25963-2022</t>
        </is>
      </c>
      <c r="B327" t="inlineStr">
        <is>
          <t>avverkningsanmälan</t>
        </is>
      </c>
      <c r="C327" t="inlineStr">
        <is>
          <t>Föryngringsavverkning</t>
        </is>
      </c>
      <c r="D327" s="1" t="n">
        <v>44734</v>
      </c>
      <c r="E327" s="1" t="n">
        <v>46217</v>
      </c>
      <c r="F327" t="inlineStr">
        <is>
          <t>ÖREBRO LÄN</t>
        </is>
      </c>
      <c r="G327" t="inlineStr">
        <is>
          <t>ASKERSUND</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58806-2025</t>
        </is>
      </c>
      <c r="B328" t="inlineStr">
        <is>
          <t>avverkningsanmälan</t>
        </is>
      </c>
      <c r="C328" t="inlineStr">
        <is>
          <t>Föryngringsavverkning</t>
        </is>
      </c>
      <c r="D328" s="1" t="n">
        <v>45987</v>
      </c>
      <c r="E328" s="1" t="n">
        <v>46217</v>
      </c>
      <c r="F328" t="inlineStr">
        <is>
          <t>ÖREBRO LÄN</t>
        </is>
      </c>
      <c r="G328" t="inlineStr">
        <is>
          <t>ASKERSUND</t>
        </is>
      </c>
      <c r="I328" t="n">
        <v>5.5</v>
      </c>
      <c r="J328" t="n">
        <v>0</v>
      </c>
      <c r="K328" t="n">
        <v>0</v>
      </c>
      <c r="L328" t="n">
        <v>0</v>
      </c>
      <c r="M328" t="n">
        <v>0</v>
      </c>
      <c r="N328" t="n">
        <v>0</v>
      </c>
      <c r="O328" t="n">
        <v>0</v>
      </c>
      <c r="P328" t="n">
        <v>0</v>
      </c>
      <c r="Q328" t="n">
        <v>0</v>
      </c>
      <c r="R328" t="n">
        <v>0</v>
      </c>
      <c r="S328" t="n">
        <v>0</v>
      </c>
      <c r="T328" t="n">
        <v>0</v>
      </c>
      <c r="U328" s="2" t="inlineStr"/>
    </row>
    <row r="329" ht="15" customHeight="1">
      <c r="A329" t="inlineStr">
        <is>
          <t>A 59560-2022</t>
        </is>
      </c>
      <c r="B329" t="inlineStr">
        <is>
          <t>avverkningsanmälan</t>
        </is>
      </c>
      <c r="C329" t="inlineStr">
        <is>
          <t>Föryngringsavverkning</t>
        </is>
      </c>
      <c r="D329" s="1" t="n">
        <v>44907</v>
      </c>
      <c r="E329" s="1" t="n">
        <v>46217</v>
      </c>
      <c r="F329" t="inlineStr">
        <is>
          <t>ÖREBRO LÄN</t>
        </is>
      </c>
      <c r="G329" t="inlineStr">
        <is>
          <t>ASKERSUND</t>
        </is>
      </c>
      <c r="H329" t="inlineStr">
        <is>
          <t>Sveaskog</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54153-2025</t>
        </is>
      </c>
      <c r="B330" t="inlineStr">
        <is>
          <t>avverkningsanmälan</t>
        </is>
      </c>
      <c r="C330" t="inlineStr">
        <is>
          <t>Föryngringsavverkning</t>
        </is>
      </c>
      <c r="D330" s="1" t="n">
        <v>45964</v>
      </c>
      <c r="E330" s="1" t="n">
        <v>46217</v>
      </c>
      <c r="F330" t="inlineStr">
        <is>
          <t>ÖREBRO LÄN</t>
        </is>
      </c>
      <c r="G330" t="inlineStr">
        <is>
          <t>ASKERSUND</t>
        </is>
      </c>
      <c r="H330" t="inlineStr">
        <is>
          <t>Sveaskog</t>
        </is>
      </c>
      <c r="I330" t="n">
        <v>6.7</v>
      </c>
      <c r="J330" t="n">
        <v>0</v>
      </c>
      <c r="K330" t="n">
        <v>0</v>
      </c>
      <c r="L330" t="n">
        <v>0</v>
      </c>
      <c r="M330" t="n">
        <v>0</v>
      </c>
      <c r="N330" t="n">
        <v>0</v>
      </c>
      <c r="O330" t="n">
        <v>0</v>
      </c>
      <c r="P330" t="n">
        <v>0</v>
      </c>
      <c r="Q330" t="n">
        <v>0</v>
      </c>
      <c r="R330" t="n">
        <v>0</v>
      </c>
      <c r="S330" t="n">
        <v>0</v>
      </c>
      <c r="T330" t="n">
        <v>0</v>
      </c>
      <c r="U330" s="2" t="inlineStr"/>
    </row>
    <row r="331" ht="15" customHeight="1">
      <c r="A331" t="inlineStr">
        <is>
          <t>A 60224-2025</t>
        </is>
      </c>
      <c r="B331" t="inlineStr">
        <is>
          <t>avverkningsanmälan</t>
        </is>
      </c>
      <c r="C331" t="inlineStr">
        <is>
          <t>Föryngringsavverkning</t>
        </is>
      </c>
      <c r="D331" s="1" t="n">
        <v>45994</v>
      </c>
      <c r="E331" s="1" t="n">
        <v>46217</v>
      </c>
      <c r="F331" t="inlineStr">
        <is>
          <t>ÖREBRO LÄN</t>
        </is>
      </c>
      <c r="G331" t="inlineStr">
        <is>
          <t>ASKERSUND</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59587-2023</t>
        </is>
      </c>
      <c r="B332" t="inlineStr">
        <is>
          <t>avverkningsanmälan</t>
        </is>
      </c>
      <c r="C332" t="inlineStr">
        <is>
          <t>Föryngringsavverkning</t>
        </is>
      </c>
      <c r="D332" s="1" t="n">
        <v>45254</v>
      </c>
      <c r="E332" s="1" t="n">
        <v>46217</v>
      </c>
      <c r="F332" t="inlineStr">
        <is>
          <t>ÖREBRO LÄN</t>
        </is>
      </c>
      <c r="G332" t="inlineStr">
        <is>
          <t>ASKERSUND</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28300-2026</t>
        </is>
      </c>
      <c r="B333" t="inlineStr">
        <is>
          <t>avverkningsanmälan</t>
        </is>
      </c>
      <c r="C333" t="inlineStr">
        <is>
          <t>Föryngringsavverkning</t>
        </is>
      </c>
      <c r="D333" s="1" t="n">
        <v>46196</v>
      </c>
      <c r="E333" s="1" t="n">
        <v>46217</v>
      </c>
      <c r="F333" t="inlineStr">
        <is>
          <t>ÖREBRO LÄN</t>
        </is>
      </c>
      <c r="G333" t="inlineStr">
        <is>
          <t>ASKERSUND</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52434-2024</t>
        </is>
      </c>
      <c r="B334" t="inlineStr">
        <is>
          <t>avverkningsanmälan</t>
        </is>
      </c>
      <c r="C334" t="inlineStr">
        <is>
          <t>Föryngringsavverkning</t>
        </is>
      </c>
      <c r="D334" s="1" t="n">
        <v>45609</v>
      </c>
      <c r="E334" s="1" t="n">
        <v>46217</v>
      </c>
      <c r="F334" t="inlineStr">
        <is>
          <t>ÖREBRO LÄN</t>
        </is>
      </c>
      <c r="G334" t="inlineStr">
        <is>
          <t>ASKERSUND</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58143-2021</t>
        </is>
      </c>
      <c r="B335" t="inlineStr">
        <is>
          <t>avverkningsanmälan</t>
        </is>
      </c>
      <c r="C335" t="inlineStr">
        <is>
          <t>Föryngringsavverkning</t>
        </is>
      </c>
      <c r="D335" s="1" t="n">
        <v>44487</v>
      </c>
      <c r="E335" s="1" t="n">
        <v>46217</v>
      </c>
      <c r="F335" t="inlineStr">
        <is>
          <t>ÖREBRO LÄN</t>
        </is>
      </c>
      <c r="G335" t="inlineStr">
        <is>
          <t>ASKERSUND</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34512-2024</t>
        </is>
      </c>
      <c r="B336" t="inlineStr">
        <is>
          <t>avverkningsanmälan</t>
        </is>
      </c>
      <c r="C336" t="inlineStr">
        <is>
          <t>Avverkning för att bevara och utveckla /försöksver</t>
        </is>
      </c>
      <c r="D336" s="1" t="n">
        <v>45525</v>
      </c>
      <c r="E336" s="1" t="n">
        <v>46217</v>
      </c>
      <c r="F336" t="inlineStr">
        <is>
          <t>ÖREBRO LÄN</t>
        </is>
      </c>
      <c r="G336" t="inlineStr">
        <is>
          <t>ASKERSUND</t>
        </is>
      </c>
      <c r="H336" t="inlineStr">
        <is>
          <t>Sveaskog</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28301-2026</t>
        </is>
      </c>
      <c r="B337" t="inlineStr">
        <is>
          <t>avverkningsanmälan</t>
        </is>
      </c>
      <c r="C337" t="inlineStr">
        <is>
          <t>Föryngringsavverkning</t>
        </is>
      </c>
      <c r="D337" s="1" t="n">
        <v>46196</v>
      </c>
      <c r="E337" s="1" t="n">
        <v>46217</v>
      </c>
      <c r="F337" t="inlineStr">
        <is>
          <t>ÖREBRO LÄN</t>
        </is>
      </c>
      <c r="G337" t="inlineStr">
        <is>
          <t>ASKERSUND</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28955-2023</t>
        </is>
      </c>
      <c r="B338" t="inlineStr">
        <is>
          <t>avverkningsanmälan</t>
        </is>
      </c>
      <c r="C338" t="inlineStr">
        <is>
          <t>Avverkning för annat ändamål</t>
        </is>
      </c>
      <c r="D338" s="1" t="n">
        <v>45104</v>
      </c>
      <c r="E338" s="1" t="n">
        <v>46217</v>
      </c>
      <c r="F338" t="inlineStr">
        <is>
          <t>ÖREBRO LÄN</t>
        </is>
      </c>
      <c r="G338" t="inlineStr">
        <is>
          <t>ASKERSUND</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22317-2026</t>
        </is>
      </c>
      <c r="B339" t="inlineStr">
        <is>
          <t>avverkningsanmälan</t>
        </is>
      </c>
      <c r="C339" t="inlineStr">
        <is>
          <t>Föryngringsavverkning</t>
        </is>
      </c>
      <c r="D339" s="1" t="n">
        <v>46154</v>
      </c>
      <c r="E339" s="1" t="n">
        <v>46217</v>
      </c>
      <c r="F339" t="inlineStr">
        <is>
          <t>ÖREBRO LÄN</t>
        </is>
      </c>
      <c r="G339" t="inlineStr">
        <is>
          <t>ASKERSUND</t>
        </is>
      </c>
      <c r="H339" t="inlineStr">
        <is>
          <t>Sveaskog</t>
        </is>
      </c>
      <c r="I339" t="n">
        <v>7.6</v>
      </c>
      <c r="J339" t="n">
        <v>0</v>
      </c>
      <c r="K339" t="n">
        <v>0</v>
      </c>
      <c r="L339" t="n">
        <v>0</v>
      </c>
      <c r="M339" t="n">
        <v>0</v>
      </c>
      <c r="N339" t="n">
        <v>0</v>
      </c>
      <c r="O339" t="n">
        <v>0</v>
      </c>
      <c r="P339" t="n">
        <v>0</v>
      </c>
      <c r="Q339" t="n">
        <v>0</v>
      </c>
      <c r="R339" t="n">
        <v>0</v>
      </c>
      <c r="S339" t="n">
        <v>0</v>
      </c>
      <c r="T339" t="n">
        <v>0</v>
      </c>
      <c r="U339" s="2" t="inlineStr"/>
    </row>
    <row r="340" ht="15" customHeight="1">
      <c r="A340" t="inlineStr">
        <is>
          <t>A 61533-2025</t>
        </is>
      </c>
      <c r="B340" t="inlineStr">
        <is>
          <t>avverkningsanmälan</t>
        </is>
      </c>
      <c r="C340" t="inlineStr">
        <is>
          <t>Föryngringsavverkning</t>
        </is>
      </c>
      <c r="D340" s="1" t="n">
        <v>46001</v>
      </c>
      <c r="E340" s="1" t="n">
        <v>46217</v>
      </c>
      <c r="F340" t="inlineStr">
        <is>
          <t>ÖREBRO LÄN</t>
        </is>
      </c>
      <c r="G340" t="inlineStr">
        <is>
          <t>ASKERSUND</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74186-2021</t>
        </is>
      </c>
      <c r="B341" t="inlineStr">
        <is>
          <t>avverkningsanmälan</t>
        </is>
      </c>
      <c r="C341" t="inlineStr">
        <is>
          <t>Föryngringsavverkning</t>
        </is>
      </c>
      <c r="D341" s="1" t="n">
        <v>44558</v>
      </c>
      <c r="E341" s="1" t="n">
        <v>46217</v>
      </c>
      <c r="F341" t="inlineStr">
        <is>
          <t>ÖREBRO LÄN</t>
        </is>
      </c>
      <c r="G341" t="inlineStr">
        <is>
          <t>ASKERSUND</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23807-2023</t>
        </is>
      </c>
      <c r="B342" t="inlineStr">
        <is>
          <t>avverkningsanmälan</t>
        </is>
      </c>
      <c r="C342" t="inlineStr">
        <is>
          <t>Föryngringsavverkning</t>
        </is>
      </c>
      <c r="D342" s="1" t="n">
        <v>45078</v>
      </c>
      <c r="E342" s="1" t="n">
        <v>46217</v>
      </c>
      <c r="F342" t="inlineStr">
        <is>
          <t>ÖREBRO LÄN</t>
        </is>
      </c>
      <c r="G342" t="inlineStr">
        <is>
          <t>ASKERSUND</t>
        </is>
      </c>
      <c r="I342" t="n">
        <v>3.4</v>
      </c>
      <c r="J342" t="n">
        <v>0</v>
      </c>
      <c r="K342" t="n">
        <v>0</v>
      </c>
      <c r="L342" t="n">
        <v>0</v>
      </c>
      <c r="M342" t="n">
        <v>0</v>
      </c>
      <c r="N342" t="n">
        <v>0</v>
      </c>
      <c r="O342" t="n">
        <v>0</v>
      </c>
      <c r="P342" t="n">
        <v>0</v>
      </c>
      <c r="Q342" t="n">
        <v>0</v>
      </c>
      <c r="R342" t="n">
        <v>0</v>
      </c>
      <c r="S342" t="n">
        <v>0</v>
      </c>
      <c r="T342" t="n">
        <v>0</v>
      </c>
      <c r="U342" s="2" t="inlineStr"/>
    </row>
    <row r="343" ht="15" customHeight="1">
      <c r="A343" t="inlineStr">
        <is>
          <t>A 12567-2023</t>
        </is>
      </c>
      <c r="B343" t="inlineStr">
        <is>
          <t>avverkningsanmälan</t>
        </is>
      </c>
      <c r="C343" t="inlineStr">
        <is>
          <t>Föryngringsavverkning</t>
        </is>
      </c>
      <c r="D343" s="1" t="n">
        <v>45000</v>
      </c>
      <c r="E343" s="1" t="n">
        <v>46217</v>
      </c>
      <c r="F343" t="inlineStr">
        <is>
          <t>ÖREBRO LÄN</t>
        </is>
      </c>
      <c r="G343" t="inlineStr">
        <is>
          <t>ASKERSUND</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52072-2024</t>
        </is>
      </c>
      <c r="B344" t="inlineStr">
        <is>
          <t>avverkningsanmälan</t>
        </is>
      </c>
      <c r="C344" t="inlineStr">
        <is>
          <t>Föryngringsavverkning</t>
        </is>
      </c>
      <c r="D344" s="1" t="n">
        <v>45608</v>
      </c>
      <c r="E344" s="1" t="n">
        <v>46217</v>
      </c>
      <c r="F344" t="inlineStr">
        <is>
          <t>ÖREBRO LÄN</t>
        </is>
      </c>
      <c r="G344" t="inlineStr">
        <is>
          <t>ASKERSUND</t>
        </is>
      </c>
      <c r="H344" t="inlineStr">
        <is>
          <t>Sveaskog</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59865-2021</t>
        </is>
      </c>
      <c r="B345" t="inlineStr">
        <is>
          <t>avverkningsanmälan</t>
        </is>
      </c>
      <c r="C345" t="inlineStr">
        <is>
          <t>Föryngringsavverkning</t>
        </is>
      </c>
      <c r="D345" s="1" t="n">
        <v>44494</v>
      </c>
      <c r="E345" s="1" t="n">
        <v>46217</v>
      </c>
      <c r="F345" t="inlineStr">
        <is>
          <t>ÖREBRO LÄN</t>
        </is>
      </c>
      <c r="G345" t="inlineStr">
        <is>
          <t>ASKERSUND</t>
        </is>
      </c>
      <c r="I345" t="n">
        <v>5.4</v>
      </c>
      <c r="J345" t="n">
        <v>0</v>
      </c>
      <c r="K345" t="n">
        <v>0</v>
      </c>
      <c r="L345" t="n">
        <v>0</v>
      </c>
      <c r="M345" t="n">
        <v>0</v>
      </c>
      <c r="N345" t="n">
        <v>0</v>
      </c>
      <c r="O345" t="n">
        <v>0</v>
      </c>
      <c r="P345" t="n">
        <v>0</v>
      </c>
      <c r="Q345" t="n">
        <v>0</v>
      </c>
      <c r="R345" t="n">
        <v>0</v>
      </c>
      <c r="S345" t="n">
        <v>0</v>
      </c>
      <c r="T345" t="n">
        <v>0</v>
      </c>
      <c r="U345" s="2" t="inlineStr"/>
    </row>
    <row r="346" ht="15" customHeight="1">
      <c r="A346" t="inlineStr">
        <is>
          <t>A 1437-2024</t>
        </is>
      </c>
      <c r="B346" t="inlineStr">
        <is>
          <t>avverkningsanmälan</t>
        </is>
      </c>
      <c r="C346" t="inlineStr">
        <is>
          <t>Föryngringsavverkning</t>
        </is>
      </c>
      <c r="D346" s="1" t="n">
        <v>45303</v>
      </c>
      <c r="E346" s="1" t="n">
        <v>46217</v>
      </c>
      <c r="F346" t="inlineStr">
        <is>
          <t>ÖREBRO LÄN</t>
        </is>
      </c>
      <c r="G346" t="inlineStr">
        <is>
          <t>ASKERSUND</t>
        </is>
      </c>
      <c r="I346" t="n">
        <v>5.3</v>
      </c>
      <c r="J346" t="n">
        <v>0</v>
      </c>
      <c r="K346" t="n">
        <v>0</v>
      </c>
      <c r="L346" t="n">
        <v>0</v>
      </c>
      <c r="M346" t="n">
        <v>0</v>
      </c>
      <c r="N346" t="n">
        <v>0</v>
      </c>
      <c r="O346" t="n">
        <v>0</v>
      </c>
      <c r="P346" t="n">
        <v>0</v>
      </c>
      <c r="Q346" t="n">
        <v>0</v>
      </c>
      <c r="R346" t="n">
        <v>0</v>
      </c>
      <c r="S346" t="n">
        <v>0</v>
      </c>
      <c r="T346" t="n">
        <v>0</v>
      </c>
      <c r="U346" s="2" t="inlineStr"/>
    </row>
    <row r="347" ht="15" customHeight="1">
      <c r="A347" t="inlineStr">
        <is>
          <t>A 28302-2026</t>
        </is>
      </c>
      <c r="B347" t="inlineStr">
        <is>
          <t>avverkningsanmälan</t>
        </is>
      </c>
      <c r="C347" t="inlineStr">
        <is>
          <t>Föryngringsavverkning</t>
        </is>
      </c>
      <c r="D347" s="1" t="n">
        <v>46196</v>
      </c>
      <c r="E347" s="1" t="n">
        <v>46217</v>
      </c>
      <c r="F347" t="inlineStr">
        <is>
          <t>ÖREBRO LÄN</t>
        </is>
      </c>
      <c r="G347" t="inlineStr">
        <is>
          <t>ASKERSUND</t>
        </is>
      </c>
      <c r="I347" t="n">
        <v>3.4</v>
      </c>
      <c r="J347" t="n">
        <v>0</v>
      </c>
      <c r="K347" t="n">
        <v>0</v>
      </c>
      <c r="L347" t="n">
        <v>0</v>
      </c>
      <c r="M347" t="n">
        <v>0</v>
      </c>
      <c r="N347" t="n">
        <v>0</v>
      </c>
      <c r="O347" t="n">
        <v>0</v>
      </c>
      <c r="P347" t="n">
        <v>0</v>
      </c>
      <c r="Q347" t="n">
        <v>0</v>
      </c>
      <c r="R347" t="n">
        <v>0</v>
      </c>
      <c r="S347" t="n">
        <v>0</v>
      </c>
      <c r="T347" t="n">
        <v>0</v>
      </c>
      <c r="U347" s="2" t="inlineStr"/>
    </row>
    <row r="348" ht="15" customHeight="1">
      <c r="A348" t="inlineStr">
        <is>
          <t>A 63318-2025</t>
        </is>
      </c>
      <c r="B348" t="inlineStr">
        <is>
          <t>avverkningsanmälan</t>
        </is>
      </c>
      <c r="C348" t="inlineStr">
        <is>
          <t>Föryngringsavverkning</t>
        </is>
      </c>
      <c r="D348" s="1" t="n">
        <v>46010</v>
      </c>
      <c r="E348" s="1" t="n">
        <v>46217</v>
      </c>
      <c r="F348" t="inlineStr">
        <is>
          <t>ÖREBRO LÄN</t>
        </is>
      </c>
      <c r="G348" t="inlineStr">
        <is>
          <t>ASKERSUND</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63356-2025</t>
        </is>
      </c>
      <c r="B349" t="inlineStr">
        <is>
          <t>avverkningsanmälan</t>
        </is>
      </c>
      <c r="C349" t="inlineStr">
        <is>
          <t>Föryngringsavverkning</t>
        </is>
      </c>
      <c r="D349" s="1" t="n">
        <v>46010</v>
      </c>
      <c r="E349" s="1" t="n">
        <v>46217</v>
      </c>
      <c r="F349" t="inlineStr">
        <is>
          <t>ÖREBRO LÄN</t>
        </is>
      </c>
      <c r="G349" t="inlineStr">
        <is>
          <t>ASKERSUND</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32214-2024</t>
        </is>
      </c>
      <c r="B350" t="inlineStr">
        <is>
          <t>avverkningsanmälan</t>
        </is>
      </c>
      <c r="C350" t="inlineStr">
        <is>
          <t>Föryngringsavverkning</t>
        </is>
      </c>
      <c r="D350" s="1" t="n">
        <v>45511</v>
      </c>
      <c r="E350" s="1" t="n">
        <v>46217</v>
      </c>
      <c r="F350" t="inlineStr">
        <is>
          <t>ÖREBRO LÄN</t>
        </is>
      </c>
      <c r="G350" t="inlineStr">
        <is>
          <t>ASKERSUND</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63546-2025</t>
        </is>
      </c>
      <c r="B351" t="inlineStr">
        <is>
          <t>avverkningsanmälan</t>
        </is>
      </c>
      <c r="C351" t="inlineStr">
        <is>
          <t>Föryngringsavverkning</t>
        </is>
      </c>
      <c r="D351" s="1" t="n">
        <v>46013</v>
      </c>
      <c r="E351" s="1" t="n">
        <v>46217</v>
      </c>
      <c r="F351" t="inlineStr">
        <is>
          <t>ÖREBRO LÄN</t>
        </is>
      </c>
      <c r="G351" t="inlineStr">
        <is>
          <t>ASKERSUND</t>
        </is>
      </c>
      <c r="I351" t="n">
        <v>2.8</v>
      </c>
      <c r="J351" t="n">
        <v>0</v>
      </c>
      <c r="K351" t="n">
        <v>0</v>
      </c>
      <c r="L351" t="n">
        <v>0</v>
      </c>
      <c r="M351" t="n">
        <v>0</v>
      </c>
      <c r="N351" t="n">
        <v>0</v>
      </c>
      <c r="O351" t="n">
        <v>0</v>
      </c>
      <c r="P351" t="n">
        <v>0</v>
      </c>
      <c r="Q351" t="n">
        <v>0</v>
      </c>
      <c r="R351" t="n">
        <v>0</v>
      </c>
      <c r="S351" t="n">
        <v>0</v>
      </c>
      <c r="T351" t="n">
        <v>0</v>
      </c>
      <c r="U351" s="2" t="inlineStr"/>
    </row>
    <row r="352" ht="15" customHeight="1">
      <c r="A352" t="inlineStr">
        <is>
          <t>A 40587-2025</t>
        </is>
      </c>
      <c r="B352" t="inlineStr">
        <is>
          <t>avverkningsanmälan</t>
        </is>
      </c>
      <c r="C352" t="inlineStr">
        <is>
          <t>Föryngringsavverkning</t>
        </is>
      </c>
      <c r="D352" s="1" t="n">
        <v>45896</v>
      </c>
      <c r="E352" s="1" t="n">
        <v>46217</v>
      </c>
      <c r="F352" t="inlineStr">
        <is>
          <t>ÖREBRO LÄN</t>
        </is>
      </c>
      <c r="G352" t="inlineStr">
        <is>
          <t>ASKERSUND</t>
        </is>
      </c>
      <c r="H352" t="inlineStr">
        <is>
          <t>Kyrkan</t>
        </is>
      </c>
      <c r="I352" t="n">
        <v>2.8</v>
      </c>
      <c r="J352" t="n">
        <v>0</v>
      </c>
      <c r="K352" t="n">
        <v>0</v>
      </c>
      <c r="L352" t="n">
        <v>0</v>
      </c>
      <c r="M352" t="n">
        <v>0</v>
      </c>
      <c r="N352" t="n">
        <v>0</v>
      </c>
      <c r="O352" t="n">
        <v>0</v>
      </c>
      <c r="P352" t="n">
        <v>0</v>
      </c>
      <c r="Q352" t="n">
        <v>0</v>
      </c>
      <c r="R352" t="n">
        <v>0</v>
      </c>
      <c r="S352" t="n">
        <v>0</v>
      </c>
      <c r="T352" t="n">
        <v>0</v>
      </c>
      <c r="U352" s="2" t="inlineStr"/>
    </row>
    <row r="353" ht="15" customHeight="1">
      <c r="A353" t="inlineStr">
        <is>
          <t>A 43830-2024</t>
        </is>
      </c>
      <c r="B353" t="inlineStr">
        <is>
          <t>avverkningsanmälan</t>
        </is>
      </c>
      <c r="C353" t="inlineStr">
        <is>
          <t>Föryngringsavverkning</t>
        </is>
      </c>
      <c r="D353" s="1" t="n">
        <v>45572</v>
      </c>
      <c r="E353" s="1" t="n">
        <v>46217</v>
      </c>
      <c r="F353" t="inlineStr">
        <is>
          <t>ÖREBRO LÄN</t>
        </is>
      </c>
      <c r="G353" t="inlineStr">
        <is>
          <t>ASKERSUND</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50578-2022</t>
        </is>
      </c>
      <c r="B354" t="inlineStr">
        <is>
          <t>avverkningsanmälan</t>
        </is>
      </c>
      <c r="C354" t="inlineStr">
        <is>
          <t>Föryngringsavverkning</t>
        </is>
      </c>
      <c r="D354" s="1" t="n">
        <v>44866</v>
      </c>
      <c r="E354" s="1" t="n">
        <v>46217</v>
      </c>
      <c r="F354" t="inlineStr">
        <is>
          <t>ÖREBRO LÄN</t>
        </is>
      </c>
      <c r="G354" t="inlineStr">
        <is>
          <t>ASKERSUND</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44764-2023</t>
        </is>
      </c>
      <c r="B355" t="inlineStr">
        <is>
          <t>avverkningsanmälan</t>
        </is>
      </c>
      <c r="C355" t="inlineStr">
        <is>
          <t>Föryngringsavverkning</t>
        </is>
      </c>
      <c r="D355" s="1" t="n">
        <v>45190</v>
      </c>
      <c r="E355" s="1" t="n">
        <v>46217</v>
      </c>
      <c r="F355" t="inlineStr">
        <is>
          <t>ÖREBRO LÄN</t>
        </is>
      </c>
      <c r="G355" t="inlineStr">
        <is>
          <t>ASKERSUND</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1127-2026</t>
        </is>
      </c>
      <c r="B356" t="inlineStr">
        <is>
          <t>avverkningsanmälan</t>
        </is>
      </c>
      <c r="C356" t="inlineStr">
        <is>
          <t>Föryngringsavverkning</t>
        </is>
      </c>
      <c r="D356" s="1" t="n">
        <v>46030</v>
      </c>
      <c r="E356" s="1" t="n">
        <v>46217</v>
      </c>
      <c r="F356" t="inlineStr">
        <is>
          <t>ÖREBRO LÄN</t>
        </is>
      </c>
      <c r="G356" t="inlineStr">
        <is>
          <t>ASKERSUND</t>
        </is>
      </c>
      <c r="I356" t="n">
        <v>5.5</v>
      </c>
      <c r="J356" t="n">
        <v>0</v>
      </c>
      <c r="K356" t="n">
        <v>0</v>
      </c>
      <c r="L356" t="n">
        <v>0</v>
      </c>
      <c r="M356" t="n">
        <v>0</v>
      </c>
      <c r="N356" t="n">
        <v>0</v>
      </c>
      <c r="O356" t="n">
        <v>0</v>
      </c>
      <c r="P356" t="n">
        <v>0</v>
      </c>
      <c r="Q356" t="n">
        <v>0</v>
      </c>
      <c r="R356" t="n">
        <v>0</v>
      </c>
      <c r="S356" t="n">
        <v>0</v>
      </c>
      <c r="T356" t="n">
        <v>0</v>
      </c>
      <c r="U356" s="2" t="inlineStr"/>
    </row>
    <row r="357" ht="15" customHeight="1">
      <c r="A357" t="inlineStr">
        <is>
          <t>A 1123-2026</t>
        </is>
      </c>
      <c r="B357" t="inlineStr">
        <is>
          <t>avverkningsanmälan</t>
        </is>
      </c>
      <c r="C357" t="inlineStr">
        <is>
          <t>Föryngringsavverkning</t>
        </is>
      </c>
      <c r="D357" s="1" t="n">
        <v>46030</v>
      </c>
      <c r="E357" s="1" t="n">
        <v>46217</v>
      </c>
      <c r="F357" t="inlineStr">
        <is>
          <t>ÖREBRO LÄN</t>
        </is>
      </c>
      <c r="G357" t="inlineStr">
        <is>
          <t>ASKERSUND</t>
        </is>
      </c>
      <c r="I357" t="n">
        <v>4.2</v>
      </c>
      <c r="J357" t="n">
        <v>0</v>
      </c>
      <c r="K357" t="n">
        <v>0</v>
      </c>
      <c r="L357" t="n">
        <v>0</v>
      </c>
      <c r="M357" t="n">
        <v>0</v>
      </c>
      <c r="N357" t="n">
        <v>0</v>
      </c>
      <c r="O357" t="n">
        <v>0</v>
      </c>
      <c r="P357" t="n">
        <v>0</v>
      </c>
      <c r="Q357" t="n">
        <v>0</v>
      </c>
      <c r="R357" t="n">
        <v>0</v>
      </c>
      <c r="S357" t="n">
        <v>0</v>
      </c>
      <c r="T357" t="n">
        <v>0</v>
      </c>
      <c r="U357" s="2" t="inlineStr"/>
    </row>
    <row r="358" ht="15" customHeight="1">
      <c r="A358" t="inlineStr">
        <is>
          <t>A 1125-2026</t>
        </is>
      </c>
      <c r="B358" t="inlineStr">
        <is>
          <t>avverkningsanmälan</t>
        </is>
      </c>
      <c r="C358" t="inlineStr">
        <is>
          <t>Föryngringsavverkning</t>
        </is>
      </c>
      <c r="D358" s="1" t="n">
        <v>46030</v>
      </c>
      <c r="E358" s="1" t="n">
        <v>46217</v>
      </c>
      <c r="F358" t="inlineStr">
        <is>
          <t>ÖREBRO LÄN</t>
        </is>
      </c>
      <c r="G358" t="inlineStr">
        <is>
          <t>ASKERSUND</t>
        </is>
      </c>
      <c r="I358" t="n">
        <v>2.8</v>
      </c>
      <c r="J358" t="n">
        <v>0</v>
      </c>
      <c r="K358" t="n">
        <v>0</v>
      </c>
      <c r="L358" t="n">
        <v>0</v>
      </c>
      <c r="M358" t="n">
        <v>0</v>
      </c>
      <c r="N358" t="n">
        <v>0</v>
      </c>
      <c r="O358" t="n">
        <v>0</v>
      </c>
      <c r="P358" t="n">
        <v>0</v>
      </c>
      <c r="Q358" t="n">
        <v>0</v>
      </c>
      <c r="R358" t="n">
        <v>0</v>
      </c>
      <c r="S358" t="n">
        <v>0</v>
      </c>
      <c r="T358" t="n">
        <v>0</v>
      </c>
      <c r="U358" s="2" t="inlineStr"/>
    </row>
    <row r="359" ht="15" customHeight="1">
      <c r="A359" t="inlineStr">
        <is>
          <t>A 7704-2022</t>
        </is>
      </c>
      <c r="B359" t="inlineStr">
        <is>
          <t>avverkningsanmälan</t>
        </is>
      </c>
      <c r="C359" t="inlineStr">
        <is>
          <t>Föryngringsavverkning</t>
        </is>
      </c>
      <c r="D359" s="1" t="n">
        <v>44608</v>
      </c>
      <c r="E359" s="1" t="n">
        <v>46217</v>
      </c>
      <c r="F359" t="inlineStr">
        <is>
          <t>ÖREBRO LÄN</t>
        </is>
      </c>
      <c r="G359" t="inlineStr">
        <is>
          <t>ASKERSUND</t>
        </is>
      </c>
      <c r="I359" t="n">
        <v>0.3</v>
      </c>
      <c r="J359" t="n">
        <v>0</v>
      </c>
      <c r="K359" t="n">
        <v>0</v>
      </c>
      <c r="L359" t="n">
        <v>0</v>
      </c>
      <c r="M359" t="n">
        <v>0</v>
      </c>
      <c r="N359" t="n">
        <v>0</v>
      </c>
      <c r="O359" t="n">
        <v>0</v>
      </c>
      <c r="P359" t="n">
        <v>0</v>
      </c>
      <c r="Q359" t="n">
        <v>0</v>
      </c>
      <c r="R359" t="n">
        <v>0</v>
      </c>
      <c r="S359" t="n">
        <v>0</v>
      </c>
      <c r="T359" t="n">
        <v>0</v>
      </c>
      <c r="U359" s="2" t="inlineStr"/>
    </row>
    <row r="360" ht="15" customHeight="1">
      <c r="A360" t="inlineStr">
        <is>
          <t>A 7713-2022</t>
        </is>
      </c>
      <c r="B360" t="inlineStr">
        <is>
          <t>avverkningsanmälan</t>
        </is>
      </c>
      <c r="C360" t="inlineStr">
        <is>
          <t>Föryngringsavverkning</t>
        </is>
      </c>
      <c r="D360" s="1" t="n">
        <v>44608</v>
      </c>
      <c r="E360" s="1" t="n">
        <v>46217</v>
      </c>
      <c r="F360" t="inlineStr">
        <is>
          <t>ÖREBRO LÄN</t>
        </is>
      </c>
      <c r="G360" t="inlineStr">
        <is>
          <t>ASKERSUND</t>
        </is>
      </c>
      <c r="I360" t="n">
        <v>2.6</v>
      </c>
      <c r="J360" t="n">
        <v>0</v>
      </c>
      <c r="K360" t="n">
        <v>0</v>
      </c>
      <c r="L360" t="n">
        <v>0</v>
      </c>
      <c r="M360" t="n">
        <v>0</v>
      </c>
      <c r="N360" t="n">
        <v>0</v>
      </c>
      <c r="O360" t="n">
        <v>0</v>
      </c>
      <c r="P360" t="n">
        <v>0</v>
      </c>
      <c r="Q360" t="n">
        <v>0</v>
      </c>
      <c r="R360" t="n">
        <v>0</v>
      </c>
      <c r="S360" t="n">
        <v>0</v>
      </c>
      <c r="T360" t="n">
        <v>0</v>
      </c>
      <c r="U360" s="2" t="inlineStr"/>
    </row>
    <row r="361" ht="15" customHeight="1">
      <c r="A361" t="inlineStr">
        <is>
          <t>A 6821-2023</t>
        </is>
      </c>
      <c r="B361" t="inlineStr">
        <is>
          <t>avverkningsanmälan</t>
        </is>
      </c>
      <c r="C361" t="inlineStr">
        <is>
          <t>Föryngringsavverkning</t>
        </is>
      </c>
      <c r="D361" s="1" t="n">
        <v>44967</v>
      </c>
      <c r="E361" s="1" t="n">
        <v>46217</v>
      </c>
      <c r="F361" t="inlineStr">
        <is>
          <t>ÖREBRO LÄN</t>
        </is>
      </c>
      <c r="G361" t="inlineStr">
        <is>
          <t>ASKERSUND</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4467-2024</t>
        </is>
      </c>
      <c r="B362" t="inlineStr">
        <is>
          <t>avverkningsanmälan</t>
        </is>
      </c>
      <c r="C362" t="inlineStr">
        <is>
          <t>Föryngringsavverkning</t>
        </is>
      </c>
      <c r="D362" s="1" t="n">
        <v>45327</v>
      </c>
      <c r="E362" s="1" t="n">
        <v>46217</v>
      </c>
      <c r="F362" t="inlineStr">
        <is>
          <t>ÖREBRO LÄN</t>
        </is>
      </c>
      <c r="G362" t="inlineStr">
        <is>
          <t>ASKERSUND</t>
        </is>
      </c>
      <c r="I362" t="n">
        <v>3.5</v>
      </c>
      <c r="J362" t="n">
        <v>0</v>
      </c>
      <c r="K362" t="n">
        <v>0</v>
      </c>
      <c r="L362" t="n">
        <v>0</v>
      </c>
      <c r="M362" t="n">
        <v>0</v>
      </c>
      <c r="N362" t="n">
        <v>0</v>
      </c>
      <c r="O362" t="n">
        <v>0</v>
      </c>
      <c r="P362" t="n">
        <v>0</v>
      </c>
      <c r="Q362" t="n">
        <v>0</v>
      </c>
      <c r="R362" t="n">
        <v>0</v>
      </c>
      <c r="S362" t="n">
        <v>0</v>
      </c>
      <c r="T362" t="n">
        <v>0</v>
      </c>
      <c r="U362" s="2" t="inlineStr"/>
    </row>
    <row r="363" ht="15" customHeight="1">
      <c r="A363" t="inlineStr">
        <is>
          <t>A 22999-2025</t>
        </is>
      </c>
      <c r="B363" t="inlineStr">
        <is>
          <t>avverkningsanmälan</t>
        </is>
      </c>
      <c r="C363" t="inlineStr">
        <is>
          <t>Föryngringsavverkning</t>
        </is>
      </c>
      <c r="D363" s="1" t="n">
        <v>45790</v>
      </c>
      <c r="E363" s="1" t="n">
        <v>46217</v>
      </c>
      <c r="F363" t="inlineStr">
        <is>
          <t>ÖREBRO LÄN</t>
        </is>
      </c>
      <c r="G363" t="inlineStr">
        <is>
          <t>ASKERSUND</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38626-2023</t>
        </is>
      </c>
      <c r="B364" t="inlineStr">
        <is>
          <t>avverkningsanmälan</t>
        </is>
      </c>
      <c r="C364" t="inlineStr">
        <is>
          <t>Föryngringsavverkning</t>
        </is>
      </c>
      <c r="D364" s="1" t="n">
        <v>45162</v>
      </c>
      <c r="E364" s="1" t="n">
        <v>46217</v>
      </c>
      <c r="F364" t="inlineStr">
        <is>
          <t>ÖREBRO LÄN</t>
        </is>
      </c>
      <c r="G364" t="inlineStr">
        <is>
          <t>ASKERSUND</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28698-2026</t>
        </is>
      </c>
      <c r="B365" t="inlineStr">
        <is>
          <t>avverkningsanmälan</t>
        </is>
      </c>
      <c r="C365" t="inlineStr">
        <is>
          <t>Föryngringsavverkning</t>
        </is>
      </c>
      <c r="D365" s="1" t="n">
        <v>46198</v>
      </c>
      <c r="E365" s="1" t="n">
        <v>46217</v>
      </c>
      <c r="F365" t="inlineStr">
        <is>
          <t>ÖREBRO LÄN</t>
        </is>
      </c>
      <c r="G365" t="inlineStr">
        <is>
          <t>ASKERSUND</t>
        </is>
      </c>
      <c r="I365" t="n">
        <v>2.7</v>
      </c>
      <c r="J365" t="n">
        <v>0</v>
      </c>
      <c r="K365" t="n">
        <v>0</v>
      </c>
      <c r="L365" t="n">
        <v>0</v>
      </c>
      <c r="M365" t="n">
        <v>0</v>
      </c>
      <c r="N365" t="n">
        <v>0</v>
      </c>
      <c r="O365" t="n">
        <v>0</v>
      </c>
      <c r="P365" t="n">
        <v>0</v>
      </c>
      <c r="Q365" t="n">
        <v>0</v>
      </c>
      <c r="R365" t="n">
        <v>0</v>
      </c>
      <c r="S365" t="n">
        <v>0</v>
      </c>
      <c r="T365" t="n">
        <v>0</v>
      </c>
      <c r="U365" s="2" t="inlineStr"/>
    </row>
    <row r="366" ht="15" customHeight="1">
      <c r="A366" t="inlineStr">
        <is>
          <t>A 2282-2022</t>
        </is>
      </c>
      <c r="B366" t="inlineStr">
        <is>
          <t>avverkningsanmälan</t>
        </is>
      </c>
      <c r="C366" t="inlineStr">
        <is>
          <t>Föryngringsavverkning</t>
        </is>
      </c>
      <c r="D366" s="1" t="n">
        <v>44578</v>
      </c>
      <c r="E366" s="1" t="n">
        <v>46217</v>
      </c>
      <c r="F366" t="inlineStr">
        <is>
          <t>ÖREBRO LÄN</t>
        </is>
      </c>
      <c r="G366" t="inlineStr">
        <is>
          <t>ASKERSUND</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1345-2024</t>
        </is>
      </c>
      <c r="B367" t="inlineStr">
        <is>
          <t>avverkningsanmälan</t>
        </is>
      </c>
      <c r="C367" t="inlineStr">
        <is>
          <t>Föryngringsavverkning</t>
        </is>
      </c>
      <c r="D367" s="1" t="n">
        <v>45303</v>
      </c>
      <c r="E367" s="1" t="n">
        <v>46217</v>
      </c>
      <c r="F367" t="inlineStr">
        <is>
          <t>ÖREBRO LÄN</t>
        </is>
      </c>
      <c r="G367" t="inlineStr">
        <is>
          <t>ASKERSUND</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3526-2026</t>
        </is>
      </c>
      <c r="B368" t="inlineStr">
        <is>
          <t>avverkningsanmälan</t>
        </is>
      </c>
      <c r="C368" t="inlineStr">
        <is>
          <t>Föryngringsavverkning</t>
        </is>
      </c>
      <c r="D368" s="1" t="n">
        <v>46042</v>
      </c>
      <c r="E368" s="1" t="n">
        <v>46217</v>
      </c>
      <c r="F368" t="inlineStr">
        <is>
          <t>ÖREBRO LÄN</t>
        </is>
      </c>
      <c r="G368" t="inlineStr">
        <is>
          <t>ASKERSUND</t>
        </is>
      </c>
      <c r="I368" t="n">
        <v>14.7</v>
      </c>
      <c r="J368" t="n">
        <v>0</v>
      </c>
      <c r="K368" t="n">
        <v>0</v>
      </c>
      <c r="L368" t="n">
        <v>0</v>
      </c>
      <c r="M368" t="n">
        <v>0</v>
      </c>
      <c r="N368" t="n">
        <v>0</v>
      </c>
      <c r="O368" t="n">
        <v>0</v>
      </c>
      <c r="P368" t="n">
        <v>0</v>
      </c>
      <c r="Q368" t="n">
        <v>0</v>
      </c>
      <c r="R368" t="n">
        <v>0</v>
      </c>
      <c r="S368" t="n">
        <v>0</v>
      </c>
      <c r="T368" t="n">
        <v>0</v>
      </c>
      <c r="U368" s="2" t="inlineStr"/>
    </row>
    <row r="369" ht="15" customHeight="1">
      <c r="A369" t="inlineStr">
        <is>
          <t>A 3543-2026</t>
        </is>
      </c>
      <c r="B369" t="inlineStr">
        <is>
          <t>avverkningsanmälan</t>
        </is>
      </c>
      <c r="C369" t="inlineStr">
        <is>
          <t>Föryngringsavverkning</t>
        </is>
      </c>
      <c r="D369" s="1" t="n">
        <v>46042</v>
      </c>
      <c r="E369" s="1" t="n">
        <v>46217</v>
      </c>
      <c r="F369" t="inlineStr">
        <is>
          <t>ÖREBRO LÄN</t>
        </is>
      </c>
      <c r="G369" t="inlineStr">
        <is>
          <t>ASKERSUND</t>
        </is>
      </c>
      <c r="I369" t="n">
        <v>10.3</v>
      </c>
      <c r="J369" t="n">
        <v>0</v>
      </c>
      <c r="K369" t="n">
        <v>0</v>
      </c>
      <c r="L369" t="n">
        <v>0</v>
      </c>
      <c r="M369" t="n">
        <v>0</v>
      </c>
      <c r="N369" t="n">
        <v>0</v>
      </c>
      <c r="O369" t="n">
        <v>0</v>
      </c>
      <c r="P369" t="n">
        <v>0</v>
      </c>
      <c r="Q369" t="n">
        <v>0</v>
      </c>
      <c r="R369" t="n">
        <v>0</v>
      </c>
      <c r="S369" t="n">
        <v>0</v>
      </c>
      <c r="T369" t="n">
        <v>0</v>
      </c>
      <c r="U369" s="2" t="inlineStr"/>
    </row>
    <row r="370" ht="15" customHeight="1">
      <c r="A370" t="inlineStr">
        <is>
          <t>A 3551-2026</t>
        </is>
      </c>
      <c r="B370" t="inlineStr">
        <is>
          <t>avverkningsanmälan</t>
        </is>
      </c>
      <c r="C370" t="inlineStr">
        <is>
          <t>Föryngringsavverkning</t>
        </is>
      </c>
      <c r="D370" s="1" t="n">
        <v>46042</v>
      </c>
      <c r="E370" s="1" t="n">
        <v>46217</v>
      </c>
      <c r="F370" t="inlineStr">
        <is>
          <t>ÖREBRO LÄN</t>
        </is>
      </c>
      <c r="G370" t="inlineStr">
        <is>
          <t>ASKERSUND</t>
        </is>
      </c>
      <c r="I370" t="n">
        <v>4</v>
      </c>
      <c r="J370" t="n">
        <v>0</v>
      </c>
      <c r="K370" t="n">
        <v>0</v>
      </c>
      <c r="L370" t="n">
        <v>0</v>
      </c>
      <c r="M370" t="n">
        <v>0</v>
      </c>
      <c r="N370" t="n">
        <v>0</v>
      </c>
      <c r="O370" t="n">
        <v>0</v>
      </c>
      <c r="P370" t="n">
        <v>0</v>
      </c>
      <c r="Q370" t="n">
        <v>0</v>
      </c>
      <c r="R370" t="n">
        <v>0</v>
      </c>
      <c r="S370" t="n">
        <v>0</v>
      </c>
      <c r="T370" t="n">
        <v>0</v>
      </c>
      <c r="U370" s="2" t="inlineStr"/>
    </row>
    <row r="371" ht="15" customHeight="1">
      <c r="A371" t="inlineStr">
        <is>
          <t>A 39908-2025</t>
        </is>
      </c>
      <c r="B371" t="inlineStr">
        <is>
          <t>avverkningsanmälan</t>
        </is>
      </c>
      <c r="C371" t="inlineStr">
        <is>
          <t>Avverkning för annat ändamål</t>
        </is>
      </c>
      <c r="D371" s="1" t="n">
        <v>45891</v>
      </c>
      <c r="E371" s="1" t="n">
        <v>46217</v>
      </c>
      <c r="F371" t="inlineStr">
        <is>
          <t>ÖREBRO LÄN</t>
        </is>
      </c>
      <c r="G371" t="inlineStr">
        <is>
          <t>ASKERSUND</t>
        </is>
      </c>
      <c r="I371" t="n">
        <v>1.9</v>
      </c>
      <c r="J371" t="n">
        <v>0</v>
      </c>
      <c r="K371" t="n">
        <v>0</v>
      </c>
      <c r="L371" t="n">
        <v>0</v>
      </c>
      <c r="M371" t="n">
        <v>0</v>
      </c>
      <c r="N371" t="n">
        <v>0</v>
      </c>
      <c r="O371" t="n">
        <v>0</v>
      </c>
      <c r="P371" t="n">
        <v>0</v>
      </c>
      <c r="Q371" t="n">
        <v>0</v>
      </c>
      <c r="R371" t="n">
        <v>0</v>
      </c>
      <c r="S371" t="n">
        <v>0</v>
      </c>
      <c r="T371" t="n">
        <v>0</v>
      </c>
      <c r="U371" s="2" t="inlineStr"/>
    </row>
    <row r="372" ht="15" customHeight="1">
      <c r="A372" t="inlineStr">
        <is>
          <t>A 1130-2026</t>
        </is>
      </c>
      <c r="B372" t="inlineStr">
        <is>
          <t>avverkningsanmälan</t>
        </is>
      </c>
      <c r="C372" t="inlineStr">
        <is>
          <t>Föryngringsavverkning</t>
        </is>
      </c>
      <c r="D372" s="1" t="n">
        <v>46030</v>
      </c>
      <c r="E372" s="1" t="n">
        <v>46217</v>
      </c>
      <c r="F372" t="inlineStr">
        <is>
          <t>ÖREBRO LÄN</t>
        </is>
      </c>
      <c r="G372" t="inlineStr">
        <is>
          <t>ASKERSUND</t>
        </is>
      </c>
      <c r="I372" t="n">
        <v>5</v>
      </c>
      <c r="J372" t="n">
        <v>0</v>
      </c>
      <c r="K372" t="n">
        <v>0</v>
      </c>
      <c r="L372" t="n">
        <v>0</v>
      </c>
      <c r="M372" t="n">
        <v>0</v>
      </c>
      <c r="N372" t="n">
        <v>0</v>
      </c>
      <c r="O372" t="n">
        <v>0</v>
      </c>
      <c r="P372" t="n">
        <v>0</v>
      </c>
      <c r="Q372" t="n">
        <v>0</v>
      </c>
      <c r="R372" t="n">
        <v>0</v>
      </c>
      <c r="S372" t="n">
        <v>0</v>
      </c>
      <c r="T372" t="n">
        <v>0</v>
      </c>
      <c r="U372" s="2" t="inlineStr"/>
    </row>
    <row r="373" ht="15" customHeight="1">
      <c r="A373" t="inlineStr">
        <is>
          <t>A 28772-2026</t>
        </is>
      </c>
      <c r="B373" t="inlineStr">
        <is>
          <t>avverkningsanmälan</t>
        </is>
      </c>
      <c r="C373" t="inlineStr">
        <is>
          <t>Föryngringsavverkning</t>
        </is>
      </c>
      <c r="D373" s="1" t="n">
        <v>46198</v>
      </c>
      <c r="E373" s="1" t="n">
        <v>46217</v>
      </c>
      <c r="F373" t="inlineStr">
        <is>
          <t>ÖREBRO LÄN</t>
        </is>
      </c>
      <c r="G373" t="inlineStr">
        <is>
          <t>ASKERSUND</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3749-2026</t>
        </is>
      </c>
      <c r="B374" t="inlineStr">
        <is>
          <t>avverkningsanmälan</t>
        </is>
      </c>
      <c r="C374" t="inlineStr">
        <is>
          <t>Föryngringsavverkning</t>
        </is>
      </c>
      <c r="D374" s="1" t="n">
        <v>46043</v>
      </c>
      <c r="E374" s="1" t="n">
        <v>46217</v>
      </c>
      <c r="F374" t="inlineStr">
        <is>
          <t>ÖREBRO LÄN</t>
        </is>
      </c>
      <c r="G374" t="inlineStr">
        <is>
          <t>ASKERSUND</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28819-2023</t>
        </is>
      </c>
      <c r="B375" t="inlineStr">
        <is>
          <t>avverkningsanmälan</t>
        </is>
      </c>
      <c r="C375" t="inlineStr">
        <is>
          <t>Föryngringsavverkning</t>
        </is>
      </c>
      <c r="D375" s="1" t="n">
        <v>45104</v>
      </c>
      <c r="E375" s="1" t="n">
        <v>46217</v>
      </c>
      <c r="F375" t="inlineStr">
        <is>
          <t>ÖREBRO LÄN</t>
        </is>
      </c>
      <c r="G375" t="inlineStr">
        <is>
          <t>ASKERSUND</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6828-2022</t>
        </is>
      </c>
      <c r="B376" t="inlineStr">
        <is>
          <t>avverkningsanmälan</t>
        </is>
      </c>
      <c r="C376" t="inlineStr">
        <is>
          <t>Föryngringsavverkning</t>
        </is>
      </c>
      <c r="D376" s="1" t="n">
        <v>44602</v>
      </c>
      <c r="E376" s="1" t="n">
        <v>46217</v>
      </c>
      <c r="F376" t="inlineStr">
        <is>
          <t>ÖREBRO LÄN</t>
        </is>
      </c>
      <c r="G376" t="inlineStr">
        <is>
          <t>ASKERSUND</t>
        </is>
      </c>
      <c r="I376" t="n">
        <v>9.699999999999999</v>
      </c>
      <c r="J376" t="n">
        <v>0</v>
      </c>
      <c r="K376" t="n">
        <v>0</v>
      </c>
      <c r="L376" t="n">
        <v>0</v>
      </c>
      <c r="M376" t="n">
        <v>0</v>
      </c>
      <c r="N376" t="n">
        <v>0</v>
      </c>
      <c r="O376" t="n">
        <v>0</v>
      </c>
      <c r="P376" t="n">
        <v>0</v>
      </c>
      <c r="Q376" t="n">
        <v>0</v>
      </c>
      <c r="R376" t="n">
        <v>0</v>
      </c>
      <c r="S376" t="n">
        <v>0</v>
      </c>
      <c r="T376" t="n">
        <v>0</v>
      </c>
      <c r="U376" s="2" t="inlineStr"/>
    </row>
    <row r="377" ht="15" customHeight="1">
      <c r="A377" t="inlineStr">
        <is>
          <t>A 15625-2022</t>
        </is>
      </c>
      <c r="B377" t="inlineStr">
        <is>
          <t>avverkningsanmälan</t>
        </is>
      </c>
      <c r="C377" t="inlineStr">
        <is>
          <t>Föryngringsavverkning</t>
        </is>
      </c>
      <c r="D377" s="1" t="n">
        <v>44662</v>
      </c>
      <c r="E377" s="1" t="n">
        <v>46217</v>
      </c>
      <c r="F377" t="inlineStr">
        <is>
          <t>ÖREBRO LÄN</t>
        </is>
      </c>
      <c r="G377" t="inlineStr">
        <is>
          <t>ASKERSUND</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4428-2026</t>
        </is>
      </c>
      <c r="B378" t="inlineStr">
        <is>
          <t>avverkningsanmälan</t>
        </is>
      </c>
      <c r="C378" t="inlineStr">
        <is>
          <t>Föryngringsavverkning</t>
        </is>
      </c>
      <c r="D378" s="1" t="n">
        <v>46045</v>
      </c>
      <c r="E378" s="1" t="n">
        <v>46217</v>
      </c>
      <c r="F378" t="inlineStr">
        <is>
          <t>ÖREBRO LÄN</t>
        </is>
      </c>
      <c r="G378" t="inlineStr">
        <is>
          <t>ASKERSUND</t>
        </is>
      </c>
      <c r="H378" t="inlineStr">
        <is>
          <t>Sveaskog</t>
        </is>
      </c>
      <c r="I378" t="n">
        <v>3.7</v>
      </c>
      <c r="J378" t="n">
        <v>0</v>
      </c>
      <c r="K378" t="n">
        <v>0</v>
      </c>
      <c r="L378" t="n">
        <v>0</v>
      </c>
      <c r="M378" t="n">
        <v>0</v>
      </c>
      <c r="N378" t="n">
        <v>0</v>
      </c>
      <c r="O378" t="n">
        <v>0</v>
      </c>
      <c r="P378" t="n">
        <v>0</v>
      </c>
      <c r="Q378" t="n">
        <v>0</v>
      </c>
      <c r="R378" t="n">
        <v>0</v>
      </c>
      <c r="S378" t="n">
        <v>0</v>
      </c>
      <c r="T378" t="n">
        <v>0</v>
      </c>
      <c r="U378" s="2" t="inlineStr"/>
    </row>
    <row r="379" ht="15" customHeight="1">
      <c r="A379" t="inlineStr">
        <is>
          <t>A 46619-2023</t>
        </is>
      </c>
      <c r="B379" t="inlineStr">
        <is>
          <t>avverkningsanmälan</t>
        </is>
      </c>
      <c r="C379" t="inlineStr">
        <is>
          <t>Föryngringsavverkning</t>
        </is>
      </c>
      <c r="D379" s="1" t="n">
        <v>45198</v>
      </c>
      <c r="E379" s="1" t="n">
        <v>46217</v>
      </c>
      <c r="F379" t="inlineStr">
        <is>
          <t>ÖREBRO LÄN</t>
        </is>
      </c>
      <c r="G379" t="inlineStr">
        <is>
          <t>ASKERSUND</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28776-2026</t>
        </is>
      </c>
      <c r="B380" t="inlineStr">
        <is>
          <t>avverkningsanmälan</t>
        </is>
      </c>
      <c r="C380" t="inlineStr">
        <is>
          <t>Föryngringsavverkning</t>
        </is>
      </c>
      <c r="D380" s="1" t="n">
        <v>46198</v>
      </c>
      <c r="E380" s="1" t="n">
        <v>46217</v>
      </c>
      <c r="F380" t="inlineStr">
        <is>
          <t>ÖREBRO LÄN</t>
        </is>
      </c>
      <c r="G380" t="inlineStr">
        <is>
          <t>ASKERSUND</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22769-2026</t>
        </is>
      </c>
      <c r="B381" t="inlineStr">
        <is>
          <t>avverkningsanmälan</t>
        </is>
      </c>
      <c r="C381" t="inlineStr">
        <is>
          <t>Föryngringsavverkning</t>
        </is>
      </c>
      <c r="D381" s="1" t="n">
        <v>46157</v>
      </c>
      <c r="E381" s="1" t="n">
        <v>46217</v>
      </c>
      <c r="F381" t="inlineStr">
        <is>
          <t>ÖREBRO LÄN</t>
        </is>
      </c>
      <c r="G381" t="inlineStr">
        <is>
          <t>ASKERSUND</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19997-2022</t>
        </is>
      </c>
      <c r="B382" t="inlineStr">
        <is>
          <t>avverkningsanmälan</t>
        </is>
      </c>
      <c r="C382" t="inlineStr">
        <is>
          <t>Föryngringsavverkning</t>
        </is>
      </c>
      <c r="D382" s="1" t="n">
        <v>44697</v>
      </c>
      <c r="E382" s="1" t="n">
        <v>46217</v>
      </c>
      <c r="F382" t="inlineStr">
        <is>
          <t>ÖREBRO LÄN</t>
        </is>
      </c>
      <c r="G382" t="inlineStr">
        <is>
          <t>ASKERSUND</t>
        </is>
      </c>
      <c r="I382" t="n">
        <v>5.6</v>
      </c>
      <c r="J382" t="n">
        <v>0</v>
      </c>
      <c r="K382" t="n">
        <v>0</v>
      </c>
      <c r="L382" t="n">
        <v>0</v>
      </c>
      <c r="M382" t="n">
        <v>0</v>
      </c>
      <c r="N382" t="n">
        <v>0</v>
      </c>
      <c r="O382" t="n">
        <v>0</v>
      </c>
      <c r="P382" t="n">
        <v>0</v>
      </c>
      <c r="Q382" t="n">
        <v>0</v>
      </c>
      <c r="R382" t="n">
        <v>0</v>
      </c>
      <c r="S382" t="n">
        <v>0</v>
      </c>
      <c r="T382" t="n">
        <v>0</v>
      </c>
      <c r="U382" s="2" t="inlineStr"/>
    </row>
    <row r="383" ht="15" customHeight="1">
      <c r="A383" t="inlineStr">
        <is>
          <t>A 7371-2022</t>
        </is>
      </c>
      <c r="B383" t="inlineStr">
        <is>
          <t>avverkningsanmälan</t>
        </is>
      </c>
      <c r="C383" t="inlineStr">
        <is>
          <t>Föryngringsavverkning</t>
        </is>
      </c>
      <c r="D383" s="1" t="n">
        <v>44606</v>
      </c>
      <c r="E383" s="1" t="n">
        <v>46217</v>
      </c>
      <c r="F383" t="inlineStr">
        <is>
          <t>ÖREBRO LÄN</t>
        </is>
      </c>
      <c r="G383" t="inlineStr">
        <is>
          <t>ASKERSUND</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12735-2022</t>
        </is>
      </c>
      <c r="B384" t="inlineStr">
        <is>
          <t>avverkningsanmälan</t>
        </is>
      </c>
      <c r="C384" t="inlineStr">
        <is>
          <t>Föryngringsavverkning</t>
        </is>
      </c>
      <c r="D384" s="1" t="n">
        <v>44641</v>
      </c>
      <c r="E384" s="1" t="n">
        <v>46217</v>
      </c>
      <c r="F384" t="inlineStr">
        <is>
          <t>ÖREBRO LÄN</t>
        </is>
      </c>
      <c r="G384" t="inlineStr">
        <is>
          <t>ASKERSUND</t>
        </is>
      </c>
      <c r="H384" t="inlineStr">
        <is>
          <t>Sveaskog</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50599-2023</t>
        </is>
      </c>
      <c r="B385" t="inlineStr">
        <is>
          <t>avverkningsanmälan</t>
        </is>
      </c>
      <c r="C385" t="inlineStr">
        <is>
          <t>Föryngringsavverkning</t>
        </is>
      </c>
      <c r="D385" s="1" t="n">
        <v>45217</v>
      </c>
      <c r="E385" s="1" t="n">
        <v>46217</v>
      </c>
      <c r="F385" t="inlineStr">
        <is>
          <t>ÖREBRO LÄN</t>
        </is>
      </c>
      <c r="G385" t="inlineStr">
        <is>
          <t>ASKERSUND</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22804-2023</t>
        </is>
      </c>
      <c r="B386" t="inlineStr">
        <is>
          <t>avverkningsanmälan</t>
        </is>
      </c>
      <c r="C386" t="inlineStr">
        <is>
          <t>Föryngringsavverkning</t>
        </is>
      </c>
      <c r="D386" s="1" t="n">
        <v>45072</v>
      </c>
      <c r="E386" s="1" t="n">
        <v>46217</v>
      </c>
      <c r="F386" t="inlineStr">
        <is>
          <t>ÖREBRO LÄN</t>
        </is>
      </c>
      <c r="G386" t="inlineStr">
        <is>
          <t>ASKERSUND</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45210-2023</t>
        </is>
      </c>
      <c r="B387" t="inlineStr">
        <is>
          <t>avverkningsanmälan</t>
        </is>
      </c>
      <c r="C387" t="inlineStr">
        <is>
          <t>Föryngringsavverkning</t>
        </is>
      </c>
      <c r="D387" s="1" t="n">
        <v>45191</v>
      </c>
      <c r="E387" s="1" t="n">
        <v>46217</v>
      </c>
      <c r="F387" t="inlineStr">
        <is>
          <t>ÖREBRO LÄN</t>
        </is>
      </c>
      <c r="G387" t="inlineStr">
        <is>
          <t>ASKERSUND</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22198-2026</t>
        </is>
      </c>
      <c r="B388" t="inlineStr">
        <is>
          <t>avverkningsanmälan</t>
        </is>
      </c>
      <c r="C388" t="inlineStr">
        <is>
          <t>Föryngringsavverkning</t>
        </is>
      </c>
      <c r="D388" s="1" t="n">
        <v>46153</v>
      </c>
      <c r="E388" s="1" t="n">
        <v>46217</v>
      </c>
      <c r="F388" t="inlineStr">
        <is>
          <t>ÖREBRO LÄN</t>
        </is>
      </c>
      <c r="G388" t="inlineStr">
        <is>
          <t>ASKERSUND</t>
        </is>
      </c>
      <c r="I388" t="n">
        <v>4.3</v>
      </c>
      <c r="J388" t="n">
        <v>0</v>
      </c>
      <c r="K388" t="n">
        <v>0</v>
      </c>
      <c r="L388" t="n">
        <v>0</v>
      </c>
      <c r="M388" t="n">
        <v>0</v>
      </c>
      <c r="N388" t="n">
        <v>0</v>
      </c>
      <c r="O388" t="n">
        <v>0</v>
      </c>
      <c r="P388" t="n">
        <v>0</v>
      </c>
      <c r="Q388" t="n">
        <v>0</v>
      </c>
      <c r="R388" t="n">
        <v>0</v>
      </c>
      <c r="S388" t="n">
        <v>0</v>
      </c>
      <c r="T388" t="n">
        <v>0</v>
      </c>
      <c r="U388" s="2" t="inlineStr"/>
    </row>
    <row r="389" ht="15" customHeight="1">
      <c r="A389" t="inlineStr">
        <is>
          <t>A 38572-2023</t>
        </is>
      </c>
      <c r="B389" t="inlineStr">
        <is>
          <t>avverkningsanmälan</t>
        </is>
      </c>
      <c r="C389" t="inlineStr">
        <is>
          <t>Föryngringsavverkning</t>
        </is>
      </c>
      <c r="D389" s="1" t="n">
        <v>45162</v>
      </c>
      <c r="E389" s="1" t="n">
        <v>46217</v>
      </c>
      <c r="F389" t="inlineStr">
        <is>
          <t>ÖREBRO LÄN</t>
        </is>
      </c>
      <c r="G389" t="inlineStr">
        <is>
          <t>ASKERSUND</t>
        </is>
      </c>
      <c r="I389" t="n">
        <v>1.5</v>
      </c>
      <c r="J389" t="n">
        <v>0</v>
      </c>
      <c r="K389" t="n">
        <v>0</v>
      </c>
      <c r="L389" t="n">
        <v>0</v>
      </c>
      <c r="M389" t="n">
        <v>0</v>
      </c>
      <c r="N389" t="n">
        <v>0</v>
      </c>
      <c r="O389" t="n">
        <v>0</v>
      </c>
      <c r="P389" t="n">
        <v>0</v>
      </c>
      <c r="Q389" t="n">
        <v>0</v>
      </c>
      <c r="R389" t="n">
        <v>0</v>
      </c>
      <c r="S389" t="n">
        <v>0</v>
      </c>
      <c r="T389" t="n">
        <v>0</v>
      </c>
      <c r="U389" s="2" t="inlineStr"/>
    </row>
    <row r="390" ht="15" customHeight="1">
      <c r="A390" t="inlineStr">
        <is>
          <t>A 46616-2023</t>
        </is>
      </c>
      <c r="B390" t="inlineStr">
        <is>
          <t>avverkningsanmälan</t>
        </is>
      </c>
      <c r="C390" t="inlineStr">
        <is>
          <t>Föryngringsavverkning</t>
        </is>
      </c>
      <c r="D390" s="1" t="n">
        <v>45198</v>
      </c>
      <c r="E390" s="1" t="n">
        <v>46217</v>
      </c>
      <c r="F390" t="inlineStr">
        <is>
          <t>ÖREBRO LÄN</t>
        </is>
      </c>
      <c r="G390" t="inlineStr">
        <is>
          <t>ASKERSUND</t>
        </is>
      </c>
      <c r="I390" t="n">
        <v>7.6</v>
      </c>
      <c r="J390" t="n">
        <v>0</v>
      </c>
      <c r="K390" t="n">
        <v>0</v>
      </c>
      <c r="L390" t="n">
        <v>0</v>
      </c>
      <c r="M390" t="n">
        <v>0</v>
      </c>
      <c r="N390" t="n">
        <v>0</v>
      </c>
      <c r="O390" t="n">
        <v>0</v>
      </c>
      <c r="P390" t="n">
        <v>0</v>
      </c>
      <c r="Q390" t="n">
        <v>0</v>
      </c>
      <c r="R390" t="n">
        <v>0</v>
      </c>
      <c r="S390" t="n">
        <v>0</v>
      </c>
      <c r="T390" t="n">
        <v>0</v>
      </c>
      <c r="U390" s="2" t="inlineStr"/>
    </row>
    <row r="391" ht="15" customHeight="1">
      <c r="A391" t="inlineStr">
        <is>
          <t>A 8961-2026</t>
        </is>
      </c>
      <c r="B391" t="inlineStr">
        <is>
          <t>avverkningsanmälan</t>
        </is>
      </c>
      <c r="C391" t="inlineStr">
        <is>
          <t>Föryngringsavverkning</t>
        </is>
      </c>
      <c r="D391" s="1" t="n">
        <v>46069</v>
      </c>
      <c r="E391" s="1" t="n">
        <v>46217</v>
      </c>
      <c r="F391" t="inlineStr">
        <is>
          <t>ÖREBRO LÄN</t>
        </is>
      </c>
      <c r="G391" t="inlineStr">
        <is>
          <t>ASKERSUND</t>
        </is>
      </c>
      <c r="I391" t="n">
        <v>3.8</v>
      </c>
      <c r="J391" t="n">
        <v>0</v>
      </c>
      <c r="K391" t="n">
        <v>0</v>
      </c>
      <c r="L391" t="n">
        <v>0</v>
      </c>
      <c r="M391" t="n">
        <v>0</v>
      </c>
      <c r="N391" t="n">
        <v>0</v>
      </c>
      <c r="O391" t="n">
        <v>0</v>
      </c>
      <c r="P391" t="n">
        <v>0</v>
      </c>
      <c r="Q391" t="n">
        <v>0</v>
      </c>
      <c r="R391" t="n">
        <v>0</v>
      </c>
      <c r="S391" t="n">
        <v>0</v>
      </c>
      <c r="T391" t="n">
        <v>0</v>
      </c>
      <c r="U391" s="2" t="inlineStr"/>
    </row>
    <row r="392" ht="15" customHeight="1">
      <c r="A392" t="inlineStr">
        <is>
          <t>A 8988-2026</t>
        </is>
      </c>
      <c r="B392" t="inlineStr">
        <is>
          <t>avverkningsanmälan</t>
        </is>
      </c>
      <c r="C392" t="inlineStr">
        <is>
          <t>Föryngringsavverkning</t>
        </is>
      </c>
      <c r="D392" s="1" t="n">
        <v>46069</v>
      </c>
      <c r="E392" s="1" t="n">
        <v>46217</v>
      </c>
      <c r="F392" t="inlineStr">
        <is>
          <t>ÖREBRO LÄN</t>
        </is>
      </c>
      <c r="G392" t="inlineStr">
        <is>
          <t>ASKERSUND</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9400-2026</t>
        </is>
      </c>
      <c r="B393" t="inlineStr">
        <is>
          <t>avverkningsanmälan</t>
        </is>
      </c>
      <c r="C393" t="inlineStr">
        <is>
          <t>Föryngringsavverkning</t>
        </is>
      </c>
      <c r="D393" s="1" t="n">
        <v>46071</v>
      </c>
      <c r="E393" s="1" t="n">
        <v>46217</v>
      </c>
      <c r="F393" t="inlineStr">
        <is>
          <t>ÖREBRO LÄN</t>
        </is>
      </c>
      <c r="G393" t="inlineStr">
        <is>
          <t>ASKERSUND</t>
        </is>
      </c>
      <c r="I393" t="n">
        <v>10.9</v>
      </c>
      <c r="J393" t="n">
        <v>0</v>
      </c>
      <c r="K393" t="n">
        <v>0</v>
      </c>
      <c r="L393" t="n">
        <v>0</v>
      </c>
      <c r="M393" t="n">
        <v>0</v>
      </c>
      <c r="N393" t="n">
        <v>0</v>
      </c>
      <c r="O393" t="n">
        <v>0</v>
      </c>
      <c r="P393" t="n">
        <v>0</v>
      </c>
      <c r="Q393" t="n">
        <v>0</v>
      </c>
      <c r="R393" t="n">
        <v>0</v>
      </c>
      <c r="S393" t="n">
        <v>0</v>
      </c>
      <c r="T393" t="n">
        <v>0</v>
      </c>
      <c r="U393" s="2" t="inlineStr"/>
    </row>
    <row r="394" ht="15" customHeight="1">
      <c r="A394" t="inlineStr">
        <is>
          <t>A 24078-2024</t>
        </is>
      </c>
      <c r="B394" t="inlineStr">
        <is>
          <t>avverkningsanmälan</t>
        </is>
      </c>
      <c r="C394" t="inlineStr">
        <is>
          <t>Föryngringsavverkning</t>
        </is>
      </c>
      <c r="D394" s="1" t="n">
        <v>45456</v>
      </c>
      <c r="E394" s="1" t="n">
        <v>46217</v>
      </c>
      <c r="F394" t="inlineStr">
        <is>
          <t>ÖREBRO LÄN</t>
        </is>
      </c>
      <c r="G394" t="inlineStr">
        <is>
          <t>ASKERSUND</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37404-2022</t>
        </is>
      </c>
      <c r="B395" t="inlineStr">
        <is>
          <t>avverkningsanmälan</t>
        </is>
      </c>
      <c r="C395" t="inlineStr">
        <is>
          <t>Föryngringsavverkning</t>
        </is>
      </c>
      <c r="D395" s="1" t="n">
        <v>44808</v>
      </c>
      <c r="E395" s="1" t="n">
        <v>46217</v>
      </c>
      <c r="F395" t="inlineStr">
        <is>
          <t>ÖREBRO LÄN</t>
        </is>
      </c>
      <c r="G395" t="inlineStr">
        <is>
          <t>ASKERSUND</t>
        </is>
      </c>
      <c r="I395" t="n">
        <v>2.5</v>
      </c>
      <c r="J395" t="n">
        <v>0</v>
      </c>
      <c r="K395" t="n">
        <v>0</v>
      </c>
      <c r="L395" t="n">
        <v>0</v>
      </c>
      <c r="M395" t="n">
        <v>0</v>
      </c>
      <c r="N395" t="n">
        <v>0</v>
      </c>
      <c r="O395" t="n">
        <v>0</v>
      </c>
      <c r="P395" t="n">
        <v>0</v>
      </c>
      <c r="Q395" t="n">
        <v>0</v>
      </c>
      <c r="R395" t="n">
        <v>0</v>
      </c>
      <c r="S395" t="n">
        <v>0</v>
      </c>
      <c r="T395" t="n">
        <v>0</v>
      </c>
      <c r="U395" s="2" t="inlineStr"/>
    </row>
    <row r="396" ht="15" customHeight="1">
      <c r="A396" t="inlineStr">
        <is>
          <t>A 11229-2026</t>
        </is>
      </c>
      <c r="B396" t="inlineStr">
        <is>
          <t>avverkningsanmälan</t>
        </is>
      </c>
      <c r="C396" t="inlineStr">
        <is>
          <t>Föryngringsavverkning</t>
        </is>
      </c>
      <c r="D396" s="1" t="n">
        <v>46080</v>
      </c>
      <c r="E396" s="1" t="n">
        <v>46217</v>
      </c>
      <c r="F396" t="inlineStr">
        <is>
          <t>ÖREBRO LÄN</t>
        </is>
      </c>
      <c r="G396" t="inlineStr">
        <is>
          <t>ASKERSUND</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23448-2026</t>
        </is>
      </c>
      <c r="B397" t="inlineStr">
        <is>
          <t>avverkningsanmälan</t>
        </is>
      </c>
      <c r="C397" t="inlineStr">
        <is>
          <t>Föryngringsavverkning</t>
        </is>
      </c>
      <c r="D397" s="1" t="n">
        <v>46163</v>
      </c>
      <c r="E397" s="1" t="n">
        <v>46217</v>
      </c>
      <c r="F397" t="inlineStr">
        <is>
          <t>ÖREBRO LÄN</t>
        </is>
      </c>
      <c r="G397" t="inlineStr">
        <is>
          <t>ASKERSUND</t>
        </is>
      </c>
      <c r="H397" t="inlineStr">
        <is>
          <t>Övriga Aktiebolag</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23577-2026</t>
        </is>
      </c>
      <c r="B398" t="inlineStr">
        <is>
          <t>avverkningsanmälan</t>
        </is>
      </c>
      <c r="C398" t="inlineStr">
        <is>
          <t>Föryngringsavverkning</t>
        </is>
      </c>
      <c r="D398" s="1" t="n">
        <v>46163</v>
      </c>
      <c r="E398" s="1" t="n">
        <v>46217</v>
      </c>
      <c r="F398" t="inlineStr">
        <is>
          <t>ÖREBRO LÄN</t>
        </is>
      </c>
      <c r="G398" t="inlineStr">
        <is>
          <t>ASKERSUND</t>
        </is>
      </c>
      <c r="H398" t="inlineStr">
        <is>
          <t>Övriga Aktiebolag</t>
        </is>
      </c>
      <c r="I398" t="n">
        <v>1.9</v>
      </c>
      <c r="J398" t="n">
        <v>0</v>
      </c>
      <c r="K398" t="n">
        <v>0</v>
      </c>
      <c r="L398" t="n">
        <v>0</v>
      </c>
      <c r="M398" t="n">
        <v>0</v>
      </c>
      <c r="N398" t="n">
        <v>0</v>
      </c>
      <c r="O398" t="n">
        <v>0</v>
      </c>
      <c r="P398" t="n">
        <v>0</v>
      </c>
      <c r="Q398" t="n">
        <v>0</v>
      </c>
      <c r="R398" t="n">
        <v>0</v>
      </c>
      <c r="S398" t="n">
        <v>0</v>
      </c>
      <c r="T398" t="n">
        <v>0</v>
      </c>
      <c r="U398" s="2" t="inlineStr"/>
    </row>
    <row r="399" ht="15" customHeight="1">
      <c r="A399" t="inlineStr">
        <is>
          <t>A 59538-2023</t>
        </is>
      </c>
      <c r="B399" t="inlineStr">
        <is>
          <t>avverkningsanmälan</t>
        </is>
      </c>
      <c r="C399" t="inlineStr">
        <is>
          <t>Föryngringsavverkning</t>
        </is>
      </c>
      <c r="D399" s="1" t="n">
        <v>45254</v>
      </c>
      <c r="E399" s="1" t="n">
        <v>46217</v>
      </c>
      <c r="F399" t="inlineStr">
        <is>
          <t>ÖREBRO LÄN</t>
        </is>
      </c>
      <c r="G399" t="inlineStr">
        <is>
          <t>ASKERSUND</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48746-2023</t>
        </is>
      </c>
      <c r="B400" t="inlineStr">
        <is>
          <t>avverkningsanmälan</t>
        </is>
      </c>
      <c r="C400" t="inlineStr">
        <is>
          <t>Föryngringsavverkning</t>
        </is>
      </c>
      <c r="D400" s="1" t="n">
        <v>45208</v>
      </c>
      <c r="E400" s="1" t="n">
        <v>46217</v>
      </c>
      <c r="F400" t="inlineStr">
        <is>
          <t>ÖREBRO LÄN</t>
        </is>
      </c>
      <c r="G400" t="inlineStr">
        <is>
          <t>ASKERSUND</t>
        </is>
      </c>
      <c r="H400" t="inlineStr">
        <is>
          <t>Sveaskog</t>
        </is>
      </c>
      <c r="I400" t="n">
        <v>4.7</v>
      </c>
      <c r="J400" t="n">
        <v>0</v>
      </c>
      <c r="K400" t="n">
        <v>0</v>
      </c>
      <c r="L400" t="n">
        <v>0</v>
      </c>
      <c r="M400" t="n">
        <v>0</v>
      </c>
      <c r="N400" t="n">
        <v>0</v>
      </c>
      <c r="O400" t="n">
        <v>0</v>
      </c>
      <c r="P400" t="n">
        <v>0</v>
      </c>
      <c r="Q400" t="n">
        <v>0</v>
      </c>
      <c r="R400" t="n">
        <v>0</v>
      </c>
      <c r="S400" t="n">
        <v>0</v>
      </c>
      <c r="T400" t="n">
        <v>0</v>
      </c>
      <c r="U400" s="2" t="inlineStr"/>
    </row>
    <row r="401" ht="15" customHeight="1">
      <c r="A401" t="inlineStr">
        <is>
          <t>A 36484-2022</t>
        </is>
      </c>
      <c r="B401" t="inlineStr">
        <is>
          <t>avverkningsanmälan</t>
        </is>
      </c>
      <c r="C401" t="inlineStr">
        <is>
          <t>Föryngringsavverkning</t>
        </is>
      </c>
      <c r="D401" s="1" t="n">
        <v>44804</v>
      </c>
      <c r="E401" s="1" t="n">
        <v>46217</v>
      </c>
      <c r="F401" t="inlineStr">
        <is>
          <t>ÖREBRO LÄN</t>
        </is>
      </c>
      <c r="G401" t="inlineStr">
        <is>
          <t>ASKERSUND</t>
        </is>
      </c>
      <c r="I401" t="n">
        <v>4.3</v>
      </c>
      <c r="J401" t="n">
        <v>0</v>
      </c>
      <c r="K401" t="n">
        <v>0</v>
      </c>
      <c r="L401" t="n">
        <v>0</v>
      </c>
      <c r="M401" t="n">
        <v>0</v>
      </c>
      <c r="N401" t="n">
        <v>0</v>
      </c>
      <c r="O401" t="n">
        <v>0</v>
      </c>
      <c r="P401" t="n">
        <v>0</v>
      </c>
      <c r="Q401" t="n">
        <v>0</v>
      </c>
      <c r="R401" t="n">
        <v>0</v>
      </c>
      <c r="S401" t="n">
        <v>0</v>
      </c>
      <c r="T401" t="n">
        <v>0</v>
      </c>
      <c r="U401" s="2" t="inlineStr"/>
    </row>
    <row r="402" ht="15" customHeight="1">
      <c r="A402" t="inlineStr">
        <is>
          <t>A 44161-2023</t>
        </is>
      </c>
      <c r="B402" t="inlineStr">
        <is>
          <t>avverkningsanmälan</t>
        </is>
      </c>
      <c r="C402" t="inlineStr">
        <is>
          <t>Föryngringsavverkning</t>
        </is>
      </c>
      <c r="D402" s="1" t="n">
        <v>45188</v>
      </c>
      <c r="E402" s="1" t="n">
        <v>46217</v>
      </c>
      <c r="F402" t="inlineStr">
        <is>
          <t>ÖREBRO LÄN</t>
        </is>
      </c>
      <c r="G402" t="inlineStr">
        <is>
          <t>ASKERSUND</t>
        </is>
      </c>
      <c r="H402" t="inlineStr">
        <is>
          <t>Sveaskog</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23568-2026</t>
        </is>
      </c>
      <c r="B403" t="inlineStr">
        <is>
          <t>avverkningsanmälan</t>
        </is>
      </c>
      <c r="C403" t="inlineStr">
        <is>
          <t>Föryngringsavverkning</t>
        </is>
      </c>
      <c r="D403" s="1" t="n">
        <v>46163</v>
      </c>
      <c r="E403" s="1" t="n">
        <v>46217</v>
      </c>
      <c r="F403" t="inlineStr">
        <is>
          <t>ÖREBRO LÄN</t>
        </is>
      </c>
      <c r="G403" t="inlineStr">
        <is>
          <t>ASKERSUND</t>
        </is>
      </c>
      <c r="H403" t="inlineStr">
        <is>
          <t>Övriga Aktiebolag</t>
        </is>
      </c>
      <c r="I403" t="n">
        <v>8.9</v>
      </c>
      <c r="J403" t="n">
        <v>0</v>
      </c>
      <c r="K403" t="n">
        <v>0</v>
      </c>
      <c r="L403" t="n">
        <v>0</v>
      </c>
      <c r="M403" t="n">
        <v>0</v>
      </c>
      <c r="N403" t="n">
        <v>0</v>
      </c>
      <c r="O403" t="n">
        <v>0</v>
      </c>
      <c r="P403" t="n">
        <v>0</v>
      </c>
      <c r="Q403" t="n">
        <v>0</v>
      </c>
      <c r="R403" t="n">
        <v>0</v>
      </c>
      <c r="S403" t="n">
        <v>0</v>
      </c>
      <c r="T403" t="n">
        <v>0</v>
      </c>
      <c r="U403" s="2" t="inlineStr"/>
    </row>
    <row r="404" ht="15" customHeight="1">
      <c r="A404" t="inlineStr">
        <is>
          <t>A 1813-2024</t>
        </is>
      </c>
      <c r="B404" t="inlineStr">
        <is>
          <t>avverkningsanmälan</t>
        </is>
      </c>
      <c r="C404" t="inlineStr">
        <is>
          <t>Föryngringsavverkning</t>
        </is>
      </c>
      <c r="D404" s="1" t="n">
        <v>45307</v>
      </c>
      <c r="E404" s="1" t="n">
        <v>46217</v>
      </c>
      <c r="F404" t="inlineStr">
        <is>
          <t>ÖREBRO LÄN</t>
        </is>
      </c>
      <c r="G404" t="inlineStr">
        <is>
          <t>ASKERSUND</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65068-2023</t>
        </is>
      </c>
      <c r="B405" t="inlineStr">
        <is>
          <t>avverkningsanmälan</t>
        </is>
      </c>
      <c r="C405" t="inlineStr">
        <is>
          <t>Föryngringsavverkning</t>
        </is>
      </c>
      <c r="D405" s="1" t="n">
        <v>45285</v>
      </c>
      <c r="E405" s="1" t="n">
        <v>46217</v>
      </c>
      <c r="F405" t="inlineStr">
        <is>
          <t>ÖREBRO LÄN</t>
        </is>
      </c>
      <c r="G405" t="inlineStr">
        <is>
          <t>ASKERSUND</t>
        </is>
      </c>
      <c r="I405" t="n">
        <v>2.7</v>
      </c>
      <c r="J405" t="n">
        <v>0</v>
      </c>
      <c r="K405" t="n">
        <v>0</v>
      </c>
      <c r="L405" t="n">
        <v>0</v>
      </c>
      <c r="M405" t="n">
        <v>0</v>
      </c>
      <c r="N405" t="n">
        <v>0</v>
      </c>
      <c r="O405" t="n">
        <v>0</v>
      </c>
      <c r="P405" t="n">
        <v>0</v>
      </c>
      <c r="Q405" t="n">
        <v>0</v>
      </c>
      <c r="R405" t="n">
        <v>0</v>
      </c>
      <c r="S405" t="n">
        <v>0</v>
      </c>
      <c r="T405" t="n">
        <v>0</v>
      </c>
      <c r="U405" s="2" t="inlineStr"/>
    </row>
    <row r="406" ht="15" customHeight="1">
      <c r="A406" t="inlineStr">
        <is>
          <t>A 13648-2026</t>
        </is>
      </c>
      <c r="B406" t="inlineStr">
        <is>
          <t>avverkningsanmälan</t>
        </is>
      </c>
      <c r="C406" t="inlineStr">
        <is>
          <t>Föryngringsavverkning</t>
        </is>
      </c>
      <c r="D406" s="1" t="n">
        <v>46095</v>
      </c>
      <c r="E406" s="1" t="n">
        <v>46217</v>
      </c>
      <c r="F406" t="inlineStr">
        <is>
          <t>ÖREBRO LÄN</t>
        </is>
      </c>
      <c r="G406" t="inlineStr">
        <is>
          <t>ASKERSUND</t>
        </is>
      </c>
      <c r="I406" t="n">
        <v>3</v>
      </c>
      <c r="J406" t="n">
        <v>0</v>
      </c>
      <c r="K406" t="n">
        <v>0</v>
      </c>
      <c r="L406" t="n">
        <v>0</v>
      </c>
      <c r="M406" t="n">
        <v>0</v>
      </c>
      <c r="N406" t="n">
        <v>0</v>
      </c>
      <c r="O406" t="n">
        <v>0</v>
      </c>
      <c r="P406" t="n">
        <v>0</v>
      </c>
      <c r="Q406" t="n">
        <v>0</v>
      </c>
      <c r="R406" t="n">
        <v>0</v>
      </c>
      <c r="S406" t="n">
        <v>0</v>
      </c>
      <c r="T406" t="n">
        <v>0</v>
      </c>
      <c r="U406" s="2" t="inlineStr"/>
    </row>
    <row r="407" ht="15" customHeight="1">
      <c r="A407" t="inlineStr">
        <is>
          <t>A 23558-2026</t>
        </is>
      </c>
      <c r="B407" t="inlineStr">
        <is>
          <t>avverkningsanmälan</t>
        </is>
      </c>
      <c r="C407" t="inlineStr">
        <is>
          <t>Föryngringsavverkning</t>
        </is>
      </c>
      <c r="D407" s="1" t="n">
        <v>46163</v>
      </c>
      <c r="E407" s="1" t="n">
        <v>46217</v>
      </c>
      <c r="F407" t="inlineStr">
        <is>
          <t>ÖREBRO LÄN</t>
        </is>
      </c>
      <c r="G407" t="inlineStr">
        <is>
          <t>ASKERSUND</t>
        </is>
      </c>
      <c r="H407" t="inlineStr">
        <is>
          <t>Övriga Aktiebolag</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27264-2026</t>
        </is>
      </c>
      <c r="B408" t="inlineStr">
        <is>
          <t>avverkningsanmälan</t>
        </is>
      </c>
      <c r="C408" t="inlineStr">
        <is>
          <t>Föryngringsavverkning</t>
        </is>
      </c>
      <c r="D408" s="1" t="n">
        <v>46184</v>
      </c>
      <c r="E408" s="1" t="n">
        <v>46217</v>
      </c>
      <c r="F408" t="inlineStr">
        <is>
          <t>ÖREBRO LÄN</t>
        </is>
      </c>
      <c r="G408" t="inlineStr">
        <is>
          <t>ASKERSUND</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14225-2026</t>
        </is>
      </c>
      <c r="B409" t="inlineStr">
        <is>
          <t>avverkningsanmälan</t>
        </is>
      </c>
      <c r="C409" t="inlineStr">
        <is>
          <t>Föryngringsavverkning</t>
        </is>
      </c>
      <c r="D409" s="1" t="n">
        <v>46099</v>
      </c>
      <c r="E409" s="1" t="n">
        <v>46217</v>
      </c>
      <c r="F409" t="inlineStr">
        <is>
          <t>ÖREBRO LÄN</t>
        </is>
      </c>
      <c r="G409" t="inlineStr">
        <is>
          <t>ASKERSUND</t>
        </is>
      </c>
      <c r="I409" t="n">
        <v>2</v>
      </c>
      <c r="J409" t="n">
        <v>0</v>
      </c>
      <c r="K409" t="n">
        <v>0</v>
      </c>
      <c r="L409" t="n">
        <v>0</v>
      </c>
      <c r="M409" t="n">
        <v>0</v>
      </c>
      <c r="N409" t="n">
        <v>0</v>
      </c>
      <c r="O409" t="n">
        <v>0</v>
      </c>
      <c r="P409" t="n">
        <v>0</v>
      </c>
      <c r="Q409" t="n">
        <v>0</v>
      </c>
      <c r="R409" t="n">
        <v>0</v>
      </c>
      <c r="S409" t="n">
        <v>0</v>
      </c>
      <c r="T409" t="n">
        <v>0</v>
      </c>
      <c r="U409" s="2" t="inlineStr"/>
    </row>
    <row r="410" ht="15" customHeight="1">
      <c r="A410" t="inlineStr">
        <is>
          <t>A 25972-2022</t>
        </is>
      </c>
      <c r="B410" t="inlineStr">
        <is>
          <t>avverkningsanmälan</t>
        </is>
      </c>
      <c r="C410" t="inlineStr">
        <is>
          <t>Föryngringsavverkning</t>
        </is>
      </c>
      <c r="D410" s="1" t="n">
        <v>44734</v>
      </c>
      <c r="E410" s="1" t="n">
        <v>46217</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23579-2026</t>
        </is>
      </c>
      <c r="B411" t="inlineStr">
        <is>
          <t>avverkningsanmälan</t>
        </is>
      </c>
      <c r="C411" t="inlineStr">
        <is>
          <t>Föryngringsavverkning</t>
        </is>
      </c>
      <c r="D411" s="1" t="n">
        <v>46163</v>
      </c>
      <c r="E411" s="1" t="n">
        <v>46217</v>
      </c>
      <c r="F411" t="inlineStr">
        <is>
          <t>ÖREBRO LÄN</t>
        </is>
      </c>
      <c r="G411" t="inlineStr">
        <is>
          <t>ASKERSUND</t>
        </is>
      </c>
      <c r="H411" t="inlineStr">
        <is>
          <t>Övriga Aktiebolag</t>
        </is>
      </c>
      <c r="I411" t="n">
        <v>1.6</v>
      </c>
      <c r="J411" t="n">
        <v>0</v>
      </c>
      <c r="K411" t="n">
        <v>0</v>
      </c>
      <c r="L411" t="n">
        <v>0</v>
      </c>
      <c r="M411" t="n">
        <v>0</v>
      </c>
      <c r="N411" t="n">
        <v>0</v>
      </c>
      <c r="O411" t="n">
        <v>0</v>
      </c>
      <c r="P411" t="n">
        <v>0</v>
      </c>
      <c r="Q411" t="n">
        <v>0</v>
      </c>
      <c r="R411" t="n">
        <v>0</v>
      </c>
      <c r="S411" t="n">
        <v>0</v>
      </c>
      <c r="T411" t="n">
        <v>0</v>
      </c>
      <c r="U411" s="2" t="inlineStr"/>
    </row>
    <row r="412" ht="15" customHeight="1">
      <c r="A412" t="inlineStr">
        <is>
          <t>A 30571-2026</t>
        </is>
      </c>
      <c r="B412" t="inlineStr">
        <is>
          <t>avverkningsanmälan</t>
        </is>
      </c>
      <c r="C412" t="inlineStr">
        <is>
          <t>Föryngringsavverkning</t>
        </is>
      </c>
      <c r="D412" s="1" t="n">
        <v>46210</v>
      </c>
      <c r="E412" s="1" t="n">
        <v>46217</v>
      </c>
      <c r="F412" t="inlineStr">
        <is>
          <t>ÖREBRO LÄN</t>
        </is>
      </c>
      <c r="G412" t="inlineStr">
        <is>
          <t>ASKERSUND</t>
        </is>
      </c>
      <c r="H412" t="inlineStr">
        <is>
          <t>Sveaskog</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30572-2026</t>
        </is>
      </c>
      <c r="B413" t="inlineStr">
        <is>
          <t>avverkningsanmälan</t>
        </is>
      </c>
      <c r="C413" t="inlineStr">
        <is>
          <t>Föryngringsavverkning</t>
        </is>
      </c>
      <c r="D413" s="1" t="n">
        <v>46210</v>
      </c>
      <c r="E413" s="1" t="n">
        <v>46217</v>
      </c>
      <c r="F413" t="inlineStr">
        <is>
          <t>ÖREBRO LÄN</t>
        </is>
      </c>
      <c r="G413" t="inlineStr">
        <is>
          <t>ASKERSUND</t>
        </is>
      </c>
      <c r="H413" t="inlineStr">
        <is>
          <t>Sveaskog</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30570-2026</t>
        </is>
      </c>
      <c r="B414" t="inlineStr">
        <is>
          <t>avverkningsanmälan</t>
        </is>
      </c>
      <c r="C414" t="inlineStr">
        <is>
          <t>Föryngringsavverkning</t>
        </is>
      </c>
      <c r="D414" s="1" t="n">
        <v>46210</v>
      </c>
      <c r="E414" s="1" t="n">
        <v>46217</v>
      </c>
      <c r="F414" t="inlineStr">
        <is>
          <t>ÖREBRO LÄN</t>
        </is>
      </c>
      <c r="G414" t="inlineStr">
        <is>
          <t>ASKERSUND</t>
        </is>
      </c>
      <c r="H414" t="inlineStr">
        <is>
          <t>Sveaskog</t>
        </is>
      </c>
      <c r="I414" t="n">
        <v>6</v>
      </c>
      <c r="J414" t="n">
        <v>0</v>
      </c>
      <c r="K414" t="n">
        <v>0</v>
      </c>
      <c r="L414" t="n">
        <v>0</v>
      </c>
      <c r="M414" t="n">
        <v>0</v>
      </c>
      <c r="N414" t="n">
        <v>0</v>
      </c>
      <c r="O414" t="n">
        <v>0</v>
      </c>
      <c r="P414" t="n">
        <v>0</v>
      </c>
      <c r="Q414" t="n">
        <v>0</v>
      </c>
      <c r="R414" t="n">
        <v>0</v>
      </c>
      <c r="S414" t="n">
        <v>0</v>
      </c>
      <c r="T414" t="n">
        <v>0</v>
      </c>
      <c r="U414" s="2" t="inlineStr"/>
    </row>
    <row r="415" ht="15" customHeight="1">
      <c r="A415" t="inlineStr">
        <is>
          <t>A 22814-2024</t>
        </is>
      </c>
      <c r="B415" t="inlineStr">
        <is>
          <t>avverkningsanmälan</t>
        </is>
      </c>
      <c r="C415" t="inlineStr">
        <is>
          <t>Föryngringsavverkning</t>
        </is>
      </c>
      <c r="D415" s="1" t="n">
        <v>45448</v>
      </c>
      <c r="E415" s="1" t="n">
        <v>46217</v>
      </c>
      <c r="F415" t="inlineStr">
        <is>
          <t>ÖREBRO LÄN</t>
        </is>
      </c>
      <c r="G415" t="inlineStr">
        <is>
          <t>ASKERSUND</t>
        </is>
      </c>
      <c r="H415" t="inlineStr">
        <is>
          <t>Övriga Aktiebolag</t>
        </is>
      </c>
      <c r="I415" t="n">
        <v>5.2</v>
      </c>
      <c r="J415" t="n">
        <v>0</v>
      </c>
      <c r="K415" t="n">
        <v>0</v>
      </c>
      <c r="L415" t="n">
        <v>0</v>
      </c>
      <c r="M415" t="n">
        <v>0</v>
      </c>
      <c r="N415" t="n">
        <v>0</v>
      </c>
      <c r="O415" t="n">
        <v>0</v>
      </c>
      <c r="P415" t="n">
        <v>0</v>
      </c>
      <c r="Q415" t="n">
        <v>0</v>
      </c>
      <c r="R415" t="n">
        <v>0</v>
      </c>
      <c r="S415" t="n">
        <v>0</v>
      </c>
      <c r="T415" t="n">
        <v>0</v>
      </c>
      <c r="U415" s="2" t="inlineStr"/>
    </row>
    <row r="416" ht="15" customHeight="1">
      <c r="A416" t="inlineStr">
        <is>
          <t>A 7182-2026</t>
        </is>
      </c>
      <c r="B416" t="inlineStr">
        <is>
          <t>avverkningsanmälan</t>
        </is>
      </c>
      <c r="C416" t="inlineStr">
        <is>
          <t>Föryngringsavverkning</t>
        </is>
      </c>
      <c r="D416" s="1" t="n">
        <v>46058</v>
      </c>
      <c r="E416" s="1" t="n">
        <v>46217</v>
      </c>
      <c r="F416" t="inlineStr">
        <is>
          <t>ÖREBRO LÄN</t>
        </is>
      </c>
      <c r="G416" t="inlineStr">
        <is>
          <t>ASKERSUND</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62550-2025</t>
        </is>
      </c>
      <c r="B417" t="inlineStr">
        <is>
          <t>avverkningsanmälan</t>
        </is>
      </c>
      <c r="C417" t="inlineStr">
        <is>
          <t>Föryngringsavverkning</t>
        </is>
      </c>
      <c r="D417" s="1" t="n">
        <v>46007</v>
      </c>
      <c r="E417" s="1" t="n">
        <v>46217</v>
      </c>
      <c r="F417" t="inlineStr">
        <is>
          <t>ÖREBRO LÄN</t>
        </is>
      </c>
      <c r="G417" t="inlineStr">
        <is>
          <t>ASKERSUND</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30612-2026</t>
        </is>
      </c>
      <c r="B418" t="inlineStr">
        <is>
          <t>avverkningsanmälan</t>
        </is>
      </c>
      <c r="C418" t="inlineStr">
        <is>
          <t>Föryngringsavverkning</t>
        </is>
      </c>
      <c r="D418" s="1" t="n">
        <v>46210</v>
      </c>
      <c r="E418" s="1" t="n">
        <v>46217</v>
      </c>
      <c r="F418" t="inlineStr">
        <is>
          <t>ÖREBRO LÄN</t>
        </is>
      </c>
      <c r="G418" t="inlineStr">
        <is>
          <t>ASKERSUND</t>
        </is>
      </c>
      <c r="H418" t="inlineStr">
        <is>
          <t>Sveaskog</t>
        </is>
      </c>
      <c r="I418" t="n">
        <v>7.6</v>
      </c>
      <c r="J418" t="n">
        <v>0</v>
      </c>
      <c r="K418" t="n">
        <v>0</v>
      </c>
      <c r="L418" t="n">
        <v>0</v>
      </c>
      <c r="M418" t="n">
        <v>0</v>
      </c>
      <c r="N418" t="n">
        <v>0</v>
      </c>
      <c r="O418" t="n">
        <v>0</v>
      </c>
      <c r="P418" t="n">
        <v>0</v>
      </c>
      <c r="Q418" t="n">
        <v>0</v>
      </c>
      <c r="R418" t="n">
        <v>0</v>
      </c>
      <c r="S418" t="n">
        <v>0</v>
      </c>
      <c r="T418" t="n">
        <v>0</v>
      </c>
      <c r="U418" s="2" t="inlineStr"/>
    </row>
    <row r="419" ht="15" customHeight="1">
      <c r="A419" t="inlineStr">
        <is>
          <t>A 18672-2022</t>
        </is>
      </c>
      <c r="B419" t="inlineStr">
        <is>
          <t>avverkningsanmälan</t>
        </is>
      </c>
      <c r="C419" t="inlineStr">
        <is>
          <t>Föryngringsavverkning</t>
        </is>
      </c>
      <c r="D419" s="1" t="n">
        <v>44687</v>
      </c>
      <c r="E419" s="1" t="n">
        <v>46217</v>
      </c>
      <c r="F419" t="inlineStr">
        <is>
          <t>ÖREBRO LÄN</t>
        </is>
      </c>
      <c r="G419" t="inlineStr">
        <is>
          <t>ASKERSUND</t>
        </is>
      </c>
      <c r="H419" t="inlineStr">
        <is>
          <t>Sveaskog</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27218-2024</t>
        </is>
      </c>
      <c r="B420" t="inlineStr">
        <is>
          <t>avverkningsanmälan</t>
        </is>
      </c>
      <c r="C420" t="inlineStr">
        <is>
          <t>Föryngringsavverkning</t>
        </is>
      </c>
      <c r="D420" s="1" t="n">
        <v>45471</v>
      </c>
      <c r="E420" s="1" t="n">
        <v>46217</v>
      </c>
      <c r="F420" t="inlineStr">
        <is>
          <t>ÖREBRO LÄN</t>
        </is>
      </c>
      <c r="G420" t="inlineStr">
        <is>
          <t>ASKERSUND</t>
        </is>
      </c>
      <c r="H420" t="inlineStr">
        <is>
          <t>Sveaskog</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16633-2026</t>
        </is>
      </c>
      <c r="B421" t="inlineStr">
        <is>
          <t>avverkningsanmälan</t>
        </is>
      </c>
      <c r="C421" t="inlineStr">
        <is>
          <t>Föryngringsavverkning</t>
        </is>
      </c>
      <c r="D421" s="1" t="n">
        <v>46112</v>
      </c>
      <c r="E421" s="1" t="n">
        <v>46217</v>
      </c>
      <c r="F421" t="inlineStr">
        <is>
          <t>ÖREBRO LÄN</t>
        </is>
      </c>
      <c r="G421" t="inlineStr">
        <is>
          <t>ASKERSUND</t>
        </is>
      </c>
      <c r="H421" t="inlineStr">
        <is>
          <t>Sveaskog</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16638-2026</t>
        </is>
      </c>
      <c r="B422" t="inlineStr">
        <is>
          <t>avverkningsanmälan</t>
        </is>
      </c>
      <c r="C422" t="inlineStr">
        <is>
          <t>Föryngringsavverkning</t>
        </is>
      </c>
      <c r="D422" s="1" t="n">
        <v>46112</v>
      </c>
      <c r="E422" s="1" t="n">
        <v>46217</v>
      </c>
      <c r="F422" t="inlineStr">
        <is>
          <t>ÖREBRO LÄN</t>
        </is>
      </c>
      <c r="G422" t="inlineStr">
        <is>
          <t>ASKERSUND</t>
        </is>
      </c>
      <c r="H422" t="inlineStr">
        <is>
          <t>Sveaskog</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16639-2026</t>
        </is>
      </c>
      <c r="B423" t="inlineStr">
        <is>
          <t>avverkningsanmälan</t>
        </is>
      </c>
      <c r="C423" t="inlineStr">
        <is>
          <t>Föryngringsavverkning</t>
        </is>
      </c>
      <c r="D423" s="1" t="n">
        <v>46112</v>
      </c>
      <c r="E423" s="1" t="n">
        <v>46217</v>
      </c>
      <c r="F423" t="inlineStr">
        <is>
          <t>ÖREBRO LÄN</t>
        </is>
      </c>
      <c r="G423" t="inlineStr">
        <is>
          <t>ASKERSUND</t>
        </is>
      </c>
      <c r="H423" t="inlineStr">
        <is>
          <t>Sveaskog</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13780-2023</t>
        </is>
      </c>
      <c r="B424" t="inlineStr">
        <is>
          <t>avverkningsanmälan</t>
        </is>
      </c>
      <c r="C424" t="inlineStr">
        <is>
          <t>Föryngringsavverkning</t>
        </is>
      </c>
      <c r="D424" s="1" t="n">
        <v>45007</v>
      </c>
      <c r="E424" s="1" t="n">
        <v>46217</v>
      </c>
      <c r="F424" t="inlineStr">
        <is>
          <t>ÖREBRO LÄN</t>
        </is>
      </c>
      <c r="G424" t="inlineStr">
        <is>
          <t>ASKERSUND</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17503-2026</t>
        </is>
      </c>
      <c r="B425" t="inlineStr">
        <is>
          <t>avverkningsanmälan</t>
        </is>
      </c>
      <c r="C425" t="inlineStr">
        <is>
          <t>Föryngringsavverkning</t>
        </is>
      </c>
      <c r="D425" s="1" t="n">
        <v>46120</v>
      </c>
      <c r="E425" s="1" t="n">
        <v>46217</v>
      </c>
      <c r="F425" t="inlineStr">
        <is>
          <t>ÖREBRO LÄN</t>
        </is>
      </c>
      <c r="G425" t="inlineStr">
        <is>
          <t>ASKERSUND</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1004-2024</t>
        </is>
      </c>
      <c r="B426" t="inlineStr">
        <is>
          <t>avverkningsanmälan</t>
        </is>
      </c>
      <c r="C426" t="inlineStr">
        <is>
          <t>Föryngringsavverkning</t>
        </is>
      </c>
      <c r="D426" s="1" t="n">
        <v>45301</v>
      </c>
      <c r="E426" s="1" t="n">
        <v>46217</v>
      </c>
      <c r="F426" t="inlineStr">
        <is>
          <t>ÖREBRO LÄN</t>
        </is>
      </c>
      <c r="G426" t="inlineStr">
        <is>
          <t>ASKERSUND</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21448-2024</t>
        </is>
      </c>
      <c r="B427" t="inlineStr">
        <is>
          <t>avverkningsanmälan</t>
        </is>
      </c>
      <c r="C427" t="inlineStr">
        <is>
          <t>Avverkning för annat ändamål</t>
        </is>
      </c>
      <c r="D427" s="1" t="n">
        <v>45441</v>
      </c>
      <c r="E427" s="1" t="n">
        <v>46217</v>
      </c>
      <c r="F427" t="inlineStr">
        <is>
          <t>ÖREBRO LÄN</t>
        </is>
      </c>
      <c r="G427" t="inlineStr">
        <is>
          <t>ASKERSUND</t>
        </is>
      </c>
      <c r="I427" t="n">
        <v>1.7</v>
      </c>
      <c r="J427" t="n">
        <v>0</v>
      </c>
      <c r="K427" t="n">
        <v>0</v>
      </c>
      <c r="L427" t="n">
        <v>0</v>
      </c>
      <c r="M427" t="n">
        <v>0</v>
      </c>
      <c r="N427" t="n">
        <v>0</v>
      </c>
      <c r="O427" t="n">
        <v>0</v>
      </c>
      <c r="P427" t="n">
        <v>0</v>
      </c>
      <c r="Q427" t="n">
        <v>0</v>
      </c>
      <c r="R427" t="n">
        <v>0</v>
      </c>
      <c r="S427" t="n">
        <v>0</v>
      </c>
      <c r="T427" t="n">
        <v>0</v>
      </c>
      <c r="U427" s="2" t="inlineStr"/>
    </row>
    <row r="428" ht="15" customHeight="1">
      <c r="A428" t="inlineStr">
        <is>
          <t>A 18474-2026</t>
        </is>
      </c>
      <c r="B428" t="inlineStr">
        <is>
          <t>avverkningsanmälan</t>
        </is>
      </c>
      <c r="C428" t="inlineStr">
        <is>
          <t>Föryngringsavverkning</t>
        </is>
      </c>
      <c r="D428" s="1" t="n">
        <v>46127</v>
      </c>
      <c r="E428" s="1" t="n">
        <v>46217</v>
      </c>
      <c r="F428" t="inlineStr">
        <is>
          <t>ÖREBRO LÄN</t>
        </is>
      </c>
      <c r="G428" t="inlineStr">
        <is>
          <t>ASKERSUND</t>
        </is>
      </c>
      <c r="H428" t="inlineStr">
        <is>
          <t>Sveaskog</t>
        </is>
      </c>
      <c r="I428" t="n">
        <v>0.6</v>
      </c>
      <c r="J428" t="n">
        <v>0</v>
      </c>
      <c r="K428" t="n">
        <v>0</v>
      </c>
      <c r="L428" t="n">
        <v>0</v>
      </c>
      <c r="M428" t="n">
        <v>0</v>
      </c>
      <c r="N428" t="n">
        <v>0</v>
      </c>
      <c r="O428" t="n">
        <v>0</v>
      </c>
      <c r="P428" t="n">
        <v>0</v>
      </c>
      <c r="Q428" t="n">
        <v>0</v>
      </c>
      <c r="R428" t="n">
        <v>0</v>
      </c>
      <c r="S428" t="n">
        <v>0</v>
      </c>
      <c r="T428" t="n">
        <v>0</v>
      </c>
      <c r="U428" s="2" t="inlineStr"/>
    </row>
    <row r="429" ht="15" customHeight="1">
      <c r="A429" t="inlineStr">
        <is>
          <t>A 18232-2026</t>
        </is>
      </c>
      <c r="B429" t="inlineStr">
        <is>
          <t>avverkningsanmälan</t>
        </is>
      </c>
      <c r="C429" t="inlineStr">
        <is>
          <t>Föryngringsavverkning</t>
        </is>
      </c>
      <c r="D429" s="1" t="n">
        <v>46126</v>
      </c>
      <c r="E429" s="1" t="n">
        <v>46217</v>
      </c>
      <c r="F429" t="inlineStr">
        <is>
          <t>ÖREBRO LÄN</t>
        </is>
      </c>
      <c r="G429" t="inlineStr">
        <is>
          <t>ASKERSUND</t>
        </is>
      </c>
      <c r="I429" t="n">
        <v>6.5</v>
      </c>
      <c r="J429" t="n">
        <v>0</v>
      </c>
      <c r="K429" t="n">
        <v>0</v>
      </c>
      <c r="L429" t="n">
        <v>0</v>
      </c>
      <c r="M429" t="n">
        <v>0</v>
      </c>
      <c r="N429" t="n">
        <v>0</v>
      </c>
      <c r="O429" t="n">
        <v>0</v>
      </c>
      <c r="P429" t="n">
        <v>0</v>
      </c>
      <c r="Q429" t="n">
        <v>0</v>
      </c>
      <c r="R429" t="n">
        <v>0</v>
      </c>
      <c r="S429" t="n">
        <v>0</v>
      </c>
      <c r="T429" t="n">
        <v>0</v>
      </c>
      <c r="U429" s="2" t="inlineStr"/>
    </row>
    <row r="430" ht="15" customHeight="1">
      <c r="A430" t="inlineStr">
        <is>
          <t>A 24505-2026</t>
        </is>
      </c>
      <c r="B430" t="inlineStr">
        <is>
          <t>avverkningsanmälan</t>
        </is>
      </c>
      <c r="C430" t="inlineStr">
        <is>
          <t>Föryngringsavverkning</t>
        </is>
      </c>
      <c r="D430" s="1" t="n">
        <v>46170</v>
      </c>
      <c r="E430" s="1" t="n">
        <v>46217</v>
      </c>
      <c r="F430" t="inlineStr">
        <is>
          <t>ÖREBRO LÄN</t>
        </is>
      </c>
      <c r="G430" t="inlineStr">
        <is>
          <t>ASKERSUND</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56033-2022</t>
        </is>
      </c>
      <c r="B431" t="inlineStr">
        <is>
          <t>avverkningsanmälan</t>
        </is>
      </c>
      <c r="C431" t="inlineStr">
        <is>
          <t>Föryngringsavverkning</t>
        </is>
      </c>
      <c r="D431" s="1" t="n">
        <v>44889</v>
      </c>
      <c r="E431" s="1" t="n">
        <v>46217</v>
      </c>
      <c r="F431" t="inlineStr">
        <is>
          <t>ÖREBRO LÄN</t>
        </is>
      </c>
      <c r="G431" t="inlineStr">
        <is>
          <t>ASKERSUND</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4474-2024</t>
        </is>
      </c>
      <c r="B432" t="inlineStr">
        <is>
          <t>avverkningsanmälan</t>
        </is>
      </c>
      <c r="C432" t="inlineStr">
        <is>
          <t>Föryngringsavverkning</t>
        </is>
      </c>
      <c r="D432" s="1" t="n">
        <v>45327</v>
      </c>
      <c r="E432" s="1" t="n">
        <v>46217</v>
      </c>
      <c r="F432" t="inlineStr">
        <is>
          <t>ÖREBRO LÄN</t>
        </is>
      </c>
      <c r="G432" t="inlineStr">
        <is>
          <t>ASKERSUND</t>
        </is>
      </c>
      <c r="I432" t="n">
        <v>1.7</v>
      </c>
      <c r="J432" t="n">
        <v>0</v>
      </c>
      <c r="K432" t="n">
        <v>0</v>
      </c>
      <c r="L432" t="n">
        <v>0</v>
      </c>
      <c r="M432" t="n">
        <v>0</v>
      </c>
      <c r="N432" t="n">
        <v>0</v>
      </c>
      <c r="O432" t="n">
        <v>0</v>
      </c>
      <c r="P432" t="n">
        <v>0</v>
      </c>
      <c r="Q432" t="n">
        <v>0</v>
      </c>
      <c r="R432" t="n">
        <v>0</v>
      </c>
      <c r="S432" t="n">
        <v>0</v>
      </c>
      <c r="T432" t="n">
        <v>0</v>
      </c>
      <c r="U432" s="2" t="inlineStr"/>
    </row>
    <row r="433" ht="15" customHeight="1">
      <c r="A433" t="inlineStr">
        <is>
          <t>A 31973-2023</t>
        </is>
      </c>
      <c r="B433" t="inlineStr">
        <is>
          <t>avverkningsanmälan</t>
        </is>
      </c>
      <c r="C433" t="inlineStr">
        <is>
          <t>Föryngringsavverkning</t>
        </is>
      </c>
      <c r="D433" s="1" t="n">
        <v>45107</v>
      </c>
      <c r="E433" s="1" t="n">
        <v>46217</v>
      </c>
      <c r="F433" t="inlineStr">
        <is>
          <t>ÖREBRO LÄN</t>
        </is>
      </c>
      <c r="G433" t="inlineStr">
        <is>
          <t>ASKERSUND</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50048-2022</t>
        </is>
      </c>
      <c r="B434" t="inlineStr">
        <is>
          <t>avverkningsanmälan</t>
        </is>
      </c>
      <c r="C434" t="inlineStr">
        <is>
          <t>Föryngringsavverkning</t>
        </is>
      </c>
      <c r="D434" s="1" t="n">
        <v>44865</v>
      </c>
      <c r="E434" s="1" t="n">
        <v>46217</v>
      </c>
      <c r="F434" t="inlineStr">
        <is>
          <t>ÖREBRO LÄN</t>
        </is>
      </c>
      <c r="G434" t="inlineStr">
        <is>
          <t>ASKERSUND</t>
        </is>
      </c>
      <c r="I434" t="n">
        <v>4.5</v>
      </c>
      <c r="J434" t="n">
        <v>0</v>
      </c>
      <c r="K434" t="n">
        <v>0</v>
      </c>
      <c r="L434" t="n">
        <v>0</v>
      </c>
      <c r="M434" t="n">
        <v>0</v>
      </c>
      <c r="N434" t="n">
        <v>0</v>
      </c>
      <c r="O434" t="n">
        <v>0</v>
      </c>
      <c r="P434" t="n">
        <v>0</v>
      </c>
      <c r="Q434" t="n">
        <v>0</v>
      </c>
      <c r="R434" t="n">
        <v>0</v>
      </c>
      <c r="S434" t="n">
        <v>0</v>
      </c>
      <c r="T434" t="n">
        <v>0</v>
      </c>
      <c r="U434" s="2" t="inlineStr"/>
    </row>
    <row r="435" ht="15" customHeight="1">
      <c r="A435" t="inlineStr">
        <is>
          <t>A 23418-2024</t>
        </is>
      </c>
      <c r="B435" t="inlineStr">
        <is>
          <t>avverkningsanmälan</t>
        </is>
      </c>
      <c r="C435" t="inlineStr">
        <is>
          <t>Föryngringsavverkning</t>
        </is>
      </c>
      <c r="D435" s="1" t="n">
        <v>45453</v>
      </c>
      <c r="E435" s="1" t="n">
        <v>46217</v>
      </c>
      <c r="F435" t="inlineStr">
        <is>
          <t>ÖREBRO LÄN</t>
        </is>
      </c>
      <c r="G435" t="inlineStr">
        <is>
          <t>ASKERSUND</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23420-2024</t>
        </is>
      </c>
      <c r="B436" t="inlineStr">
        <is>
          <t>avverkningsanmälan</t>
        </is>
      </c>
      <c r="C436" t="inlineStr">
        <is>
          <t>Föryngringsavverkning</t>
        </is>
      </c>
      <c r="D436" s="1" t="n">
        <v>45453</v>
      </c>
      <c r="E436" s="1" t="n">
        <v>46217</v>
      </c>
      <c r="F436" t="inlineStr">
        <is>
          <t>ÖREBRO LÄN</t>
        </is>
      </c>
      <c r="G436" t="inlineStr">
        <is>
          <t>ASKERSUND</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24738-2026</t>
        </is>
      </c>
      <c r="B437" t="inlineStr">
        <is>
          <t>avverkningsanmälan</t>
        </is>
      </c>
      <c r="C437" t="inlineStr">
        <is>
          <t>Föryngringsavverkning</t>
        </is>
      </c>
      <c r="D437" s="1" t="n">
        <v>46171</v>
      </c>
      <c r="E437" s="1" t="n">
        <v>46217</v>
      </c>
      <c r="F437" t="inlineStr">
        <is>
          <t>ÖREBRO LÄN</t>
        </is>
      </c>
      <c r="G437" t="inlineStr">
        <is>
          <t>ASKERSUND</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25005-2026</t>
        </is>
      </c>
      <c r="B438" t="inlineStr">
        <is>
          <t>avverkningsanmälan</t>
        </is>
      </c>
      <c r="C438" t="inlineStr">
        <is>
          <t>Föryngringsavverkning</t>
        </is>
      </c>
      <c r="D438" s="1" t="n">
        <v>46174</v>
      </c>
      <c r="E438" s="1" t="n">
        <v>46217</v>
      </c>
      <c r="F438" t="inlineStr">
        <is>
          <t>ÖREBRO LÄN</t>
        </is>
      </c>
      <c r="G438" t="inlineStr">
        <is>
          <t>ASKERSUND</t>
        </is>
      </c>
      <c r="H438" t="inlineStr">
        <is>
          <t>Sveaskog</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25017-2026</t>
        </is>
      </c>
      <c r="B439" t="inlineStr">
        <is>
          <t>avverkningsanmälan</t>
        </is>
      </c>
      <c r="C439" t="inlineStr">
        <is>
          <t>Föryngringsavverkning</t>
        </is>
      </c>
      <c r="D439" s="1" t="n">
        <v>46174</v>
      </c>
      <c r="E439" s="1" t="n">
        <v>46217</v>
      </c>
      <c r="F439" t="inlineStr">
        <is>
          <t>ÖREBRO LÄN</t>
        </is>
      </c>
      <c r="G439" t="inlineStr">
        <is>
          <t>ASKERSUND</t>
        </is>
      </c>
      <c r="H439" t="inlineStr">
        <is>
          <t>Sveaskog</t>
        </is>
      </c>
      <c r="I439" t="n">
        <v>2.6</v>
      </c>
      <c r="J439" t="n">
        <v>0</v>
      </c>
      <c r="K439" t="n">
        <v>0</v>
      </c>
      <c r="L439" t="n">
        <v>0</v>
      </c>
      <c r="M439" t="n">
        <v>0</v>
      </c>
      <c r="N439" t="n">
        <v>0</v>
      </c>
      <c r="O439" t="n">
        <v>0</v>
      </c>
      <c r="P439" t="n">
        <v>0</v>
      </c>
      <c r="Q439" t="n">
        <v>0</v>
      </c>
      <c r="R439" t="n">
        <v>0</v>
      </c>
      <c r="S439" t="n">
        <v>0</v>
      </c>
      <c r="T439" t="n">
        <v>0</v>
      </c>
      <c r="U439" s="2" t="inlineStr"/>
    </row>
    <row r="440" ht="15" customHeight="1">
      <c r="A440" t="inlineStr">
        <is>
          <t>A 25019-2026</t>
        </is>
      </c>
      <c r="B440" t="inlineStr">
        <is>
          <t>avverkningsanmälan</t>
        </is>
      </c>
      <c r="C440" t="inlineStr">
        <is>
          <t>Föryngringsavverkning</t>
        </is>
      </c>
      <c r="D440" s="1" t="n">
        <v>46174</v>
      </c>
      <c r="E440" s="1" t="n">
        <v>46217</v>
      </c>
      <c r="F440" t="inlineStr">
        <is>
          <t>ÖREBRO LÄN</t>
        </is>
      </c>
      <c r="G440" t="inlineStr">
        <is>
          <t>ASKERSUND</t>
        </is>
      </c>
      <c r="H440" t="inlineStr">
        <is>
          <t>Sveaskog</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25035-2026</t>
        </is>
      </c>
      <c r="B441" t="inlineStr">
        <is>
          <t>avverkningsanmälan</t>
        </is>
      </c>
      <c r="C441" t="inlineStr">
        <is>
          <t>Föryngringsavverkning</t>
        </is>
      </c>
      <c r="D441" s="1" t="n">
        <v>46174</v>
      </c>
      <c r="E441" s="1" t="n">
        <v>46217</v>
      </c>
      <c r="F441" t="inlineStr">
        <is>
          <t>ÖREBRO LÄN</t>
        </is>
      </c>
      <c r="G441" t="inlineStr">
        <is>
          <t>ASKERSUND</t>
        </is>
      </c>
      <c r="H441" t="inlineStr">
        <is>
          <t>Sveaskog</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25038-2026</t>
        </is>
      </c>
      <c r="B442" t="inlineStr">
        <is>
          <t>avverkningsanmälan</t>
        </is>
      </c>
      <c r="C442" t="inlineStr">
        <is>
          <t>Föryngringsavverkning</t>
        </is>
      </c>
      <c r="D442" s="1" t="n">
        <v>46174</v>
      </c>
      <c r="E442" s="1" t="n">
        <v>46217</v>
      </c>
      <c r="F442" t="inlineStr">
        <is>
          <t>ÖREBRO LÄN</t>
        </is>
      </c>
      <c r="G442" t="inlineStr">
        <is>
          <t>ASKERSUND</t>
        </is>
      </c>
      <c r="H442" t="inlineStr">
        <is>
          <t>Sveaskog</t>
        </is>
      </c>
      <c r="I442" t="n">
        <v>6.3</v>
      </c>
      <c r="J442" t="n">
        <v>0</v>
      </c>
      <c r="K442" t="n">
        <v>0</v>
      </c>
      <c r="L442" t="n">
        <v>0</v>
      </c>
      <c r="M442" t="n">
        <v>0</v>
      </c>
      <c r="N442" t="n">
        <v>0</v>
      </c>
      <c r="O442" t="n">
        <v>0</v>
      </c>
      <c r="P442" t="n">
        <v>0</v>
      </c>
      <c r="Q442" t="n">
        <v>0</v>
      </c>
      <c r="R442" t="n">
        <v>0</v>
      </c>
      <c r="S442" t="n">
        <v>0</v>
      </c>
      <c r="T442" t="n">
        <v>0</v>
      </c>
      <c r="U442" s="2" t="inlineStr"/>
    </row>
    <row r="443" ht="15" customHeight="1">
      <c r="A443" t="inlineStr">
        <is>
          <t>A 34501-2024</t>
        </is>
      </c>
      <c r="B443" t="inlineStr">
        <is>
          <t>avverkningsanmälan</t>
        </is>
      </c>
      <c r="C443" t="inlineStr">
        <is>
          <t>Föryngringsavverkning</t>
        </is>
      </c>
      <c r="D443" s="1" t="n">
        <v>45525</v>
      </c>
      <c r="E443" s="1" t="n">
        <v>46217</v>
      </c>
      <c r="F443" t="inlineStr">
        <is>
          <t>ÖREBRO LÄN</t>
        </is>
      </c>
      <c r="G443" t="inlineStr">
        <is>
          <t>ASKERSUND</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31076-2026</t>
        </is>
      </c>
      <c r="B444" t="inlineStr">
        <is>
          <t>avverkningsanmälan</t>
        </is>
      </c>
      <c r="C444" t="inlineStr">
        <is>
          <t>Föryngringsavverkning</t>
        </is>
      </c>
      <c r="D444" s="1" t="n">
        <v>46216</v>
      </c>
      <c r="E444" s="1" t="n">
        <v>46217</v>
      </c>
      <c r="F444" t="inlineStr">
        <is>
          <t>ÖREBRO LÄN</t>
        </is>
      </c>
      <c r="G444" t="inlineStr">
        <is>
          <t>ASKERSUND</t>
        </is>
      </c>
      <c r="H444" t="inlineStr">
        <is>
          <t>Sveaskog</t>
        </is>
      </c>
      <c r="I444" t="n">
        <v>3.7</v>
      </c>
      <c r="J444" t="n">
        <v>0</v>
      </c>
      <c r="K444" t="n">
        <v>0</v>
      </c>
      <c r="L444" t="n">
        <v>0</v>
      </c>
      <c r="M444" t="n">
        <v>0</v>
      </c>
      <c r="N444" t="n">
        <v>0</v>
      </c>
      <c r="O444" t="n">
        <v>0</v>
      </c>
      <c r="P444" t="n">
        <v>0</v>
      </c>
      <c r="Q444" t="n">
        <v>0</v>
      </c>
      <c r="R444" t="n">
        <v>0</v>
      </c>
      <c r="S444" t="n">
        <v>0</v>
      </c>
      <c r="T444" t="n">
        <v>0</v>
      </c>
      <c r="U444" s="2" t="inlineStr"/>
    </row>
    <row r="445" ht="15" customHeight="1">
      <c r="A445" t="inlineStr">
        <is>
          <t>A 31077-2026</t>
        </is>
      </c>
      <c r="B445" t="inlineStr">
        <is>
          <t>avverkningsanmälan</t>
        </is>
      </c>
      <c r="C445" t="inlineStr">
        <is>
          <t>Föryngringsavverkning</t>
        </is>
      </c>
      <c r="D445" s="1" t="n">
        <v>46216</v>
      </c>
      <c r="E445" s="1" t="n">
        <v>46217</v>
      </c>
      <c r="F445" t="inlineStr">
        <is>
          <t>ÖREBRO LÄN</t>
        </is>
      </c>
      <c r="G445" t="inlineStr">
        <is>
          <t>ASKERSUND</t>
        </is>
      </c>
      <c r="H445" t="inlineStr">
        <is>
          <t>Sveaskog</t>
        </is>
      </c>
      <c r="I445" t="n">
        <v>7.7</v>
      </c>
      <c r="J445" t="n">
        <v>0</v>
      </c>
      <c r="K445" t="n">
        <v>0</v>
      </c>
      <c r="L445" t="n">
        <v>0</v>
      </c>
      <c r="M445" t="n">
        <v>0</v>
      </c>
      <c r="N445" t="n">
        <v>0</v>
      </c>
      <c r="O445" t="n">
        <v>0</v>
      </c>
      <c r="P445" t="n">
        <v>0</v>
      </c>
      <c r="Q445" t="n">
        <v>0</v>
      </c>
      <c r="R445" t="n">
        <v>0</v>
      </c>
      <c r="S445" t="n">
        <v>0</v>
      </c>
      <c r="T445" t="n">
        <v>0</v>
      </c>
      <c r="U445" s="2" t="inlineStr"/>
    </row>
    <row r="446" ht="15" customHeight="1">
      <c r="A446" t="inlineStr">
        <is>
          <t>A 25297-2026</t>
        </is>
      </c>
      <c r="B446" t="inlineStr">
        <is>
          <t>avverkningsanmälan</t>
        </is>
      </c>
      <c r="C446" t="inlineStr">
        <is>
          <t>Föryngringsavverkning</t>
        </is>
      </c>
      <c r="D446" s="1" t="n">
        <v>46176</v>
      </c>
      <c r="E446" s="1" t="n">
        <v>46217</v>
      </c>
      <c r="F446" t="inlineStr">
        <is>
          <t>ÖREBRO LÄN</t>
        </is>
      </c>
      <c r="G446" t="inlineStr">
        <is>
          <t>ASKERSUND</t>
        </is>
      </c>
      <c r="I446" t="n">
        <v>6.6</v>
      </c>
      <c r="J446" t="n">
        <v>0</v>
      </c>
      <c r="K446" t="n">
        <v>0</v>
      </c>
      <c r="L446" t="n">
        <v>0</v>
      </c>
      <c r="M446" t="n">
        <v>0</v>
      </c>
      <c r="N446" t="n">
        <v>0</v>
      </c>
      <c r="O446" t="n">
        <v>0</v>
      </c>
      <c r="P446" t="n">
        <v>0</v>
      </c>
      <c r="Q446" t="n">
        <v>0</v>
      </c>
      <c r="R446" t="n">
        <v>0</v>
      </c>
      <c r="S446" t="n">
        <v>0</v>
      </c>
      <c r="T446" t="n">
        <v>0</v>
      </c>
      <c r="U446" s="2" t="inlineStr"/>
    </row>
    <row r="447" ht="15" customHeight="1">
      <c r="A447" t="inlineStr">
        <is>
          <t>A 1359-2022</t>
        </is>
      </c>
      <c r="B447" t="inlineStr">
        <is>
          <t>avverkningsanmälan</t>
        </is>
      </c>
      <c r="C447" t="inlineStr">
        <is>
          <t>Föryngringsavverkning</t>
        </is>
      </c>
      <c r="D447" s="1" t="n">
        <v>44573</v>
      </c>
      <c r="E447" s="1" t="n">
        <v>46217</v>
      </c>
      <c r="F447" t="inlineStr">
        <is>
          <t>ÖREBRO LÄN</t>
        </is>
      </c>
      <c r="G447" t="inlineStr">
        <is>
          <t>ASKERSUND</t>
        </is>
      </c>
      <c r="I447" t="n">
        <v>2.8</v>
      </c>
      <c r="J447" t="n">
        <v>0</v>
      </c>
      <c r="K447" t="n">
        <v>0</v>
      </c>
      <c r="L447" t="n">
        <v>0</v>
      </c>
      <c r="M447" t="n">
        <v>0</v>
      </c>
      <c r="N447" t="n">
        <v>0</v>
      </c>
      <c r="O447" t="n">
        <v>0</v>
      </c>
      <c r="P447" t="n">
        <v>0</v>
      </c>
      <c r="Q447" t="n">
        <v>0</v>
      </c>
      <c r="R447" t="n">
        <v>0</v>
      </c>
      <c r="S447" t="n">
        <v>0</v>
      </c>
      <c r="T447" t="n">
        <v>0</v>
      </c>
      <c r="U447" s="2" t="inlineStr"/>
    </row>
    <row r="448" ht="15" customHeight="1">
      <c r="A448" t="inlineStr">
        <is>
          <t>A 24577-2026</t>
        </is>
      </c>
      <c r="B448" t="inlineStr">
        <is>
          <t>avverkningsanmälan</t>
        </is>
      </c>
      <c r="C448" t="inlineStr">
        <is>
          <t>Föryngringsavverkning</t>
        </is>
      </c>
      <c r="D448" s="1" t="n">
        <v>46170</v>
      </c>
      <c r="E448" s="1" t="n">
        <v>46217</v>
      </c>
      <c r="F448" t="inlineStr">
        <is>
          <t>ÖREBRO LÄN</t>
        </is>
      </c>
      <c r="G448" t="inlineStr">
        <is>
          <t>ASKERSUND</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A 8298-2022</t>
        </is>
      </c>
      <c r="B449" t="inlineStr">
        <is>
          <t>avverkningsanmälan</t>
        </is>
      </c>
      <c r="C449" t="inlineStr">
        <is>
          <t>Föryngringsavverkning</t>
        </is>
      </c>
      <c r="D449" s="1" t="n">
        <v>44610</v>
      </c>
      <c r="E449" s="1" t="n">
        <v>46217</v>
      </c>
      <c r="F449" t="inlineStr">
        <is>
          <t>ÖREBRO LÄN</t>
        </is>
      </c>
      <c r="G449" t="inlineStr">
        <is>
          <t>ASKERSUND</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60141-2022</t>
        </is>
      </c>
      <c r="B450" t="inlineStr">
        <is>
          <t>avverkningsanmälan</t>
        </is>
      </c>
      <c r="C450" t="inlineStr">
        <is>
          <t>Föryngringsavverkning</t>
        </is>
      </c>
      <c r="D450" s="1" t="n">
        <v>44909</v>
      </c>
      <c r="E450" s="1" t="n">
        <v>46217</v>
      </c>
      <c r="F450" t="inlineStr">
        <is>
          <t>ÖREBRO LÄN</t>
        </is>
      </c>
      <c r="G450" t="inlineStr">
        <is>
          <t>ASKERSUND</t>
        </is>
      </c>
      <c r="I450" t="n">
        <v>4.7</v>
      </c>
      <c r="J450" t="n">
        <v>0</v>
      </c>
      <c r="K450" t="n">
        <v>0</v>
      </c>
      <c r="L450" t="n">
        <v>0</v>
      </c>
      <c r="M450" t="n">
        <v>0</v>
      </c>
      <c r="N450" t="n">
        <v>0</v>
      </c>
      <c r="O450" t="n">
        <v>0</v>
      </c>
      <c r="P450" t="n">
        <v>0</v>
      </c>
      <c r="Q450" t="n">
        <v>0</v>
      </c>
      <c r="R450" t="n">
        <v>0</v>
      </c>
      <c r="S450" t="n">
        <v>0</v>
      </c>
      <c r="T450" t="n">
        <v>0</v>
      </c>
      <c r="U450" s="2" t="inlineStr"/>
    </row>
    <row r="451" ht="15" customHeight="1">
      <c r="A451" t="inlineStr">
        <is>
          <t>A 195-2023</t>
        </is>
      </c>
      <c r="B451" t="inlineStr">
        <is>
          <t>avverkningsanmälan</t>
        </is>
      </c>
      <c r="C451" t="inlineStr">
        <is>
          <t>Föryngringsavverkning</t>
        </is>
      </c>
      <c r="D451" s="1" t="n">
        <v>44928</v>
      </c>
      <c r="E451" s="1" t="n">
        <v>46217</v>
      </c>
      <c r="F451" t="inlineStr">
        <is>
          <t>ÖREBRO LÄN</t>
        </is>
      </c>
      <c r="G451" t="inlineStr">
        <is>
          <t>ASKERSUND</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60959-2021</t>
        </is>
      </c>
      <c r="B452" t="inlineStr">
        <is>
          <t>avverkningsanmälan</t>
        </is>
      </c>
      <c r="C452" t="inlineStr">
        <is>
          <t>Avverkning för annat ändamål</t>
        </is>
      </c>
      <c r="D452" s="1" t="n">
        <v>44497</v>
      </c>
      <c r="E452" s="1" t="n">
        <v>46217</v>
      </c>
      <c r="F452" t="inlineStr">
        <is>
          <t>ÖREBRO LÄN</t>
        </is>
      </c>
      <c r="G452" t="inlineStr">
        <is>
          <t>ASKERSUND</t>
        </is>
      </c>
      <c r="I452" t="n">
        <v>0.1</v>
      </c>
      <c r="J452" t="n">
        <v>0</v>
      </c>
      <c r="K452" t="n">
        <v>0</v>
      </c>
      <c r="L452" t="n">
        <v>0</v>
      </c>
      <c r="M452" t="n">
        <v>0</v>
      </c>
      <c r="N452" t="n">
        <v>0</v>
      </c>
      <c r="O452" t="n">
        <v>0</v>
      </c>
      <c r="P452" t="n">
        <v>0</v>
      </c>
      <c r="Q452" t="n">
        <v>0</v>
      </c>
      <c r="R452" t="n">
        <v>0</v>
      </c>
      <c r="S452" t="n">
        <v>0</v>
      </c>
      <c r="T452" t="n">
        <v>0</v>
      </c>
      <c r="U452" s="2" t="inlineStr"/>
    </row>
    <row r="453" ht="15" customHeight="1">
      <c r="A453" t="inlineStr">
        <is>
          <t>A 26415-2024</t>
        </is>
      </c>
      <c r="B453" t="inlineStr">
        <is>
          <t>avverkningsanmälan</t>
        </is>
      </c>
      <c r="C453" t="inlineStr">
        <is>
          <t>Föryngringsavverkning</t>
        </is>
      </c>
      <c r="D453" s="1" t="n">
        <v>45469</v>
      </c>
      <c r="E453" s="1" t="n">
        <v>46217</v>
      </c>
      <c r="F453" t="inlineStr">
        <is>
          <t>ÖREBRO LÄN</t>
        </is>
      </c>
      <c r="G453" t="inlineStr">
        <is>
          <t>ASKERSUND</t>
        </is>
      </c>
      <c r="I453" t="n">
        <v>3.3</v>
      </c>
      <c r="J453" t="n">
        <v>0</v>
      </c>
      <c r="K453" t="n">
        <v>0</v>
      </c>
      <c r="L453" t="n">
        <v>0</v>
      </c>
      <c r="M453" t="n">
        <v>0</v>
      </c>
      <c r="N453" t="n">
        <v>0</v>
      </c>
      <c r="O453" t="n">
        <v>0</v>
      </c>
      <c r="P453" t="n">
        <v>0</v>
      </c>
      <c r="Q453" t="n">
        <v>0</v>
      </c>
      <c r="R453" t="n">
        <v>0</v>
      </c>
      <c r="S453" t="n">
        <v>0</v>
      </c>
      <c r="T453" t="n">
        <v>0</v>
      </c>
      <c r="U453" s="2" t="inlineStr"/>
    </row>
    <row r="454" ht="15" customHeight="1">
      <c r="A454" t="inlineStr">
        <is>
          <t>A 48860-2022</t>
        </is>
      </c>
      <c r="B454" t="inlineStr">
        <is>
          <t>avverkningsanmälan</t>
        </is>
      </c>
      <c r="C454" t="inlineStr">
        <is>
          <t>Föryngringsavverkning</t>
        </is>
      </c>
      <c r="D454" s="1" t="n">
        <v>44859</v>
      </c>
      <c r="E454" s="1" t="n">
        <v>46217</v>
      </c>
      <c r="F454" t="inlineStr">
        <is>
          <t>ÖREBRO LÄN</t>
        </is>
      </c>
      <c r="G454" t="inlineStr">
        <is>
          <t>ASKERSUND</t>
        </is>
      </c>
      <c r="I454" t="n">
        <v>3.6</v>
      </c>
      <c r="J454" t="n">
        <v>0</v>
      </c>
      <c r="K454" t="n">
        <v>0</v>
      </c>
      <c r="L454" t="n">
        <v>0</v>
      </c>
      <c r="M454" t="n">
        <v>0</v>
      </c>
      <c r="N454" t="n">
        <v>0</v>
      </c>
      <c r="O454" t="n">
        <v>0</v>
      </c>
      <c r="P454" t="n">
        <v>0</v>
      </c>
      <c r="Q454" t="n">
        <v>0</v>
      </c>
      <c r="R454" t="n">
        <v>0</v>
      </c>
      <c r="S454" t="n">
        <v>0</v>
      </c>
      <c r="T454" t="n">
        <v>0</v>
      </c>
      <c r="U454" s="2" t="inlineStr"/>
    </row>
    <row r="455" ht="15" customHeight="1">
      <c r="A455" t="inlineStr">
        <is>
          <t>A 25808-2022</t>
        </is>
      </c>
      <c r="B455" t="inlineStr">
        <is>
          <t>avverkningsanmälan</t>
        </is>
      </c>
      <c r="C455" t="inlineStr">
        <is>
          <t>Föryngringsavverkning</t>
        </is>
      </c>
      <c r="D455" s="1" t="n">
        <v>44733</v>
      </c>
      <c r="E455" s="1" t="n">
        <v>46217</v>
      </c>
      <c r="F455" t="inlineStr">
        <is>
          <t>ÖREBRO LÄN</t>
        </is>
      </c>
      <c r="G455" t="inlineStr">
        <is>
          <t>ASKERSUND</t>
        </is>
      </c>
      <c r="H455" t="inlineStr">
        <is>
          <t>Sveaskog</t>
        </is>
      </c>
      <c r="I455" t="n">
        <v>2.9</v>
      </c>
      <c r="J455" t="n">
        <v>0</v>
      </c>
      <c r="K455" t="n">
        <v>0</v>
      </c>
      <c r="L455" t="n">
        <v>0</v>
      </c>
      <c r="M455" t="n">
        <v>0</v>
      </c>
      <c r="N455" t="n">
        <v>0</v>
      </c>
      <c r="O455" t="n">
        <v>0</v>
      </c>
      <c r="P455" t="n">
        <v>0</v>
      </c>
      <c r="Q455" t="n">
        <v>0</v>
      </c>
      <c r="R455" t="n">
        <v>0</v>
      </c>
      <c r="S455" t="n">
        <v>0</v>
      </c>
      <c r="T455" t="n">
        <v>0</v>
      </c>
      <c r="U455" s="2" t="inlineStr"/>
    </row>
    <row r="456" ht="15" customHeight="1">
      <c r="A456" t="inlineStr">
        <is>
          <t>A 57645-2023</t>
        </is>
      </c>
      <c r="B456" t="inlineStr">
        <is>
          <t>avverkningsanmälan</t>
        </is>
      </c>
      <c r="C456" t="inlineStr">
        <is>
          <t>Föryngringsavverkning</t>
        </is>
      </c>
      <c r="D456" s="1" t="n">
        <v>45246</v>
      </c>
      <c r="E456" s="1" t="n">
        <v>46217</v>
      </c>
      <c r="F456" t="inlineStr">
        <is>
          <t>ÖREBRO LÄN</t>
        </is>
      </c>
      <c r="G456" t="inlineStr">
        <is>
          <t>ASKERSUND</t>
        </is>
      </c>
      <c r="I456" t="n">
        <v>2.1</v>
      </c>
      <c r="J456" t="n">
        <v>0</v>
      </c>
      <c r="K456" t="n">
        <v>0</v>
      </c>
      <c r="L456" t="n">
        <v>0</v>
      </c>
      <c r="M456" t="n">
        <v>0</v>
      </c>
      <c r="N456" t="n">
        <v>0</v>
      </c>
      <c r="O456" t="n">
        <v>0</v>
      </c>
      <c r="P456" t="n">
        <v>0</v>
      </c>
      <c r="Q456" t="n">
        <v>0</v>
      </c>
      <c r="R456" t="n">
        <v>0</v>
      </c>
      <c r="S456" t="n">
        <v>0</v>
      </c>
      <c r="T456" t="n">
        <v>0</v>
      </c>
      <c r="U456" s="2" t="inlineStr"/>
    </row>
    <row r="457" ht="15" customHeight="1">
      <c r="A457" t="inlineStr">
        <is>
          <t>A 43471-2023</t>
        </is>
      </c>
      <c r="B457" t="inlineStr">
        <is>
          <t>avverkningsanmälan</t>
        </is>
      </c>
      <c r="C457" t="inlineStr">
        <is>
          <t>Föryngringsavverkning</t>
        </is>
      </c>
      <c r="D457" s="1" t="n">
        <v>45184</v>
      </c>
      <c r="E457" s="1" t="n">
        <v>46217</v>
      </c>
      <c r="F457" t="inlineStr">
        <is>
          <t>ÖREBRO LÄN</t>
        </is>
      </c>
      <c r="G457" t="inlineStr">
        <is>
          <t>ASKERSUND</t>
        </is>
      </c>
      <c r="H457" t="inlineStr">
        <is>
          <t>Sveaskog</t>
        </is>
      </c>
      <c r="I457" t="n">
        <v>3.9</v>
      </c>
      <c r="J457" t="n">
        <v>0</v>
      </c>
      <c r="K457" t="n">
        <v>0</v>
      </c>
      <c r="L457" t="n">
        <v>0</v>
      </c>
      <c r="M457" t="n">
        <v>0</v>
      </c>
      <c r="N457" t="n">
        <v>0</v>
      </c>
      <c r="O457" t="n">
        <v>0</v>
      </c>
      <c r="P457" t="n">
        <v>0</v>
      </c>
      <c r="Q457" t="n">
        <v>0</v>
      </c>
      <c r="R457" t="n">
        <v>0</v>
      </c>
      <c r="S457" t="n">
        <v>0</v>
      </c>
      <c r="T457" t="n">
        <v>0</v>
      </c>
      <c r="U457" s="2" t="inlineStr"/>
    </row>
    <row r="458" ht="15" customHeight="1">
      <c r="A458" t="inlineStr">
        <is>
          <t>A 64614-2021</t>
        </is>
      </c>
      <c r="B458" t="inlineStr">
        <is>
          <t>avverkningsanmälan</t>
        </is>
      </c>
      <c r="C458" t="inlineStr">
        <is>
          <t>Föryngringsavverkning</t>
        </is>
      </c>
      <c r="D458" s="1" t="n">
        <v>44511</v>
      </c>
      <c r="E458" s="1" t="n">
        <v>46217</v>
      </c>
      <c r="F458" t="inlineStr">
        <is>
          <t>ÖREBRO LÄN</t>
        </is>
      </c>
      <c r="G458" t="inlineStr">
        <is>
          <t>ASKERSUND</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58139-2021</t>
        </is>
      </c>
      <c r="B459" t="inlineStr">
        <is>
          <t>avverkningsanmälan</t>
        </is>
      </c>
      <c r="C459" t="inlineStr">
        <is>
          <t>Föryngringsavverkning</t>
        </is>
      </c>
      <c r="D459" s="1" t="n">
        <v>44487</v>
      </c>
      <c r="E459" s="1" t="n">
        <v>46217</v>
      </c>
      <c r="F459" t="inlineStr">
        <is>
          <t>ÖREBRO LÄN</t>
        </is>
      </c>
      <c r="G459" t="inlineStr">
        <is>
          <t>ASKERSUND</t>
        </is>
      </c>
      <c r="I459" t="n">
        <v>1.8</v>
      </c>
      <c r="J459" t="n">
        <v>0</v>
      </c>
      <c r="K459" t="n">
        <v>0</v>
      </c>
      <c r="L459" t="n">
        <v>0</v>
      </c>
      <c r="M459" t="n">
        <v>0</v>
      </c>
      <c r="N459" t="n">
        <v>0</v>
      </c>
      <c r="O459" t="n">
        <v>0</v>
      </c>
      <c r="P459" t="n">
        <v>0</v>
      </c>
      <c r="Q459" t="n">
        <v>0</v>
      </c>
      <c r="R459" t="n">
        <v>0</v>
      </c>
      <c r="S459" t="n">
        <v>0</v>
      </c>
      <c r="T459" t="n">
        <v>0</v>
      </c>
      <c r="U459" s="2" t="inlineStr"/>
    </row>
    <row r="460" ht="15" customHeight="1">
      <c r="A460" t="inlineStr">
        <is>
          <t>A 7256-2023</t>
        </is>
      </c>
      <c r="B460" t="inlineStr">
        <is>
          <t>avverkningsanmälan</t>
        </is>
      </c>
      <c r="C460" t="inlineStr">
        <is>
          <t>Föryngringsavverkning</t>
        </is>
      </c>
      <c r="D460" s="1" t="n">
        <v>44970</v>
      </c>
      <c r="E460" s="1" t="n">
        <v>46217</v>
      </c>
      <c r="F460" t="inlineStr">
        <is>
          <t>ÖREBRO LÄN</t>
        </is>
      </c>
      <c r="G460" t="inlineStr">
        <is>
          <t>ASKERSUND</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44528-2021</t>
        </is>
      </c>
      <c r="B461" t="inlineStr">
        <is>
          <t>avverkningsanmälan</t>
        </is>
      </c>
      <c r="C461" t="inlineStr">
        <is>
          <t>Föryngringsavverkning</t>
        </is>
      </c>
      <c r="D461" s="1" t="n">
        <v>44435</v>
      </c>
      <c r="E461" s="1" t="n">
        <v>46217</v>
      </c>
      <c r="F461" t="inlineStr">
        <is>
          <t>ÖREBRO LÄN</t>
        </is>
      </c>
      <c r="G461" t="inlineStr">
        <is>
          <t>ASKERSUND</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50101-2024</t>
        </is>
      </c>
      <c r="B462" t="inlineStr">
        <is>
          <t>avverkningsanmälan</t>
        </is>
      </c>
      <c r="C462" t="inlineStr">
        <is>
          <t>Föryngringsavverkning</t>
        </is>
      </c>
      <c r="D462" s="1" t="n">
        <v>45599</v>
      </c>
      <c r="E462" s="1" t="n">
        <v>46217</v>
      </c>
      <c r="F462" t="inlineStr">
        <is>
          <t>ÖREBRO LÄN</t>
        </is>
      </c>
      <c r="G462" t="inlineStr">
        <is>
          <t>ASKERSUND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7374-2022</t>
        </is>
      </c>
      <c r="B463" t="inlineStr">
        <is>
          <t>avverkningsanmälan</t>
        </is>
      </c>
      <c r="C463" t="inlineStr">
        <is>
          <t>Föryngringsavverkning</t>
        </is>
      </c>
      <c r="D463" s="1" t="n">
        <v>44606</v>
      </c>
      <c r="E463" s="1" t="n">
        <v>46217</v>
      </c>
      <c r="F463" t="inlineStr">
        <is>
          <t>ÖREBRO LÄN</t>
        </is>
      </c>
      <c r="G463" t="inlineStr">
        <is>
          <t>ASKERSUND</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2991-2023</t>
        </is>
      </c>
      <c r="B464" t="inlineStr">
        <is>
          <t>avverkningsanmälan</t>
        </is>
      </c>
      <c r="C464" t="inlineStr">
        <is>
          <t>Föryngringsavverkning</t>
        </is>
      </c>
      <c r="D464" s="1" t="n">
        <v>44945</v>
      </c>
      <c r="E464" s="1" t="n">
        <v>46217</v>
      </c>
      <c r="F464" t="inlineStr">
        <is>
          <t>ÖREBRO LÄN</t>
        </is>
      </c>
      <c r="G464" t="inlineStr">
        <is>
          <t>ASKERSUND</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11968-2023</t>
        </is>
      </c>
      <c r="B465" t="inlineStr">
        <is>
          <t>avverkningsanmälan</t>
        </is>
      </c>
      <c r="C465" t="inlineStr">
        <is>
          <t>Föryngringsavverkning</t>
        </is>
      </c>
      <c r="D465" s="1" t="n">
        <v>44995</v>
      </c>
      <c r="E465" s="1" t="n">
        <v>46217</v>
      </c>
      <c r="F465" t="inlineStr">
        <is>
          <t>ÖREBRO LÄN</t>
        </is>
      </c>
      <c r="G465" t="inlineStr">
        <is>
          <t>ASKERSUND</t>
        </is>
      </c>
      <c r="H465" t="inlineStr">
        <is>
          <t>Sveaskog</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17399-2023</t>
        </is>
      </c>
      <c r="B466" t="inlineStr">
        <is>
          <t>avverkningsanmälan</t>
        </is>
      </c>
      <c r="C466" t="inlineStr">
        <is>
          <t>Föryngringsavverkning</t>
        </is>
      </c>
      <c r="D466" s="1" t="n">
        <v>45035</v>
      </c>
      <c r="E466" s="1" t="n">
        <v>46217</v>
      </c>
      <c r="F466" t="inlineStr">
        <is>
          <t>ÖREBRO LÄN</t>
        </is>
      </c>
      <c r="G466" t="inlineStr">
        <is>
          <t>ASKERSUND</t>
        </is>
      </c>
      <c r="I466" t="n">
        <v>1.7</v>
      </c>
      <c r="J466" t="n">
        <v>0</v>
      </c>
      <c r="K466" t="n">
        <v>0</v>
      </c>
      <c r="L466" t="n">
        <v>0</v>
      </c>
      <c r="M466" t="n">
        <v>0</v>
      </c>
      <c r="N466" t="n">
        <v>0</v>
      </c>
      <c r="O466" t="n">
        <v>0</v>
      </c>
      <c r="P466" t="n">
        <v>0</v>
      </c>
      <c r="Q466" t="n">
        <v>0</v>
      </c>
      <c r="R466" t="n">
        <v>0</v>
      </c>
      <c r="S466" t="n">
        <v>0</v>
      </c>
      <c r="T466" t="n">
        <v>0</v>
      </c>
      <c r="U466" s="2" t="inlineStr"/>
    </row>
    <row r="467" ht="15" customHeight="1">
      <c r="A467" t="inlineStr">
        <is>
          <t>A 14499-2022</t>
        </is>
      </c>
      <c r="B467" t="inlineStr">
        <is>
          <t>avverkningsanmälan</t>
        </is>
      </c>
      <c r="C467" t="inlineStr">
        <is>
          <t>Föryngringsavverkning</t>
        </is>
      </c>
      <c r="D467" s="1" t="n">
        <v>44655</v>
      </c>
      <c r="E467" s="1" t="n">
        <v>46217</v>
      </c>
      <c r="F467" t="inlineStr">
        <is>
          <t>ÖREBRO LÄN</t>
        </is>
      </c>
      <c r="G467" t="inlineStr">
        <is>
          <t>ASKERSUND</t>
        </is>
      </c>
      <c r="H467" t="inlineStr">
        <is>
          <t>Sveaskog</t>
        </is>
      </c>
      <c r="I467" t="n">
        <v>2.5</v>
      </c>
      <c r="J467" t="n">
        <v>0</v>
      </c>
      <c r="K467" t="n">
        <v>0</v>
      </c>
      <c r="L467" t="n">
        <v>0</v>
      </c>
      <c r="M467" t="n">
        <v>0</v>
      </c>
      <c r="N467" t="n">
        <v>0</v>
      </c>
      <c r="O467" t="n">
        <v>0</v>
      </c>
      <c r="P467" t="n">
        <v>0</v>
      </c>
      <c r="Q467" t="n">
        <v>0</v>
      </c>
      <c r="R467" t="n">
        <v>0</v>
      </c>
      <c r="S467" t="n">
        <v>0</v>
      </c>
      <c r="T467" t="n">
        <v>0</v>
      </c>
      <c r="U467" s="2" t="inlineStr"/>
    </row>
    <row r="468" ht="15" customHeight="1">
      <c r="A468" t="inlineStr">
        <is>
          <t>A 11637-2024</t>
        </is>
      </c>
      <c r="B468" t="inlineStr">
        <is>
          <t>avverkningsanmälan</t>
        </is>
      </c>
      <c r="C468" t="inlineStr">
        <is>
          <t>Föryngringsavverkning</t>
        </is>
      </c>
      <c r="D468" s="1" t="n">
        <v>45373</v>
      </c>
      <c r="E468" s="1" t="n">
        <v>46217</v>
      </c>
      <c r="F468" t="inlineStr">
        <is>
          <t>ÖREBRO LÄN</t>
        </is>
      </c>
      <c r="G468" t="inlineStr">
        <is>
          <t>ASKERSUND</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45339-2022</t>
        </is>
      </c>
      <c r="B469" t="inlineStr">
        <is>
          <t>avverkningsanmälan</t>
        </is>
      </c>
      <c r="C469" t="inlineStr">
        <is>
          <t>Föryngringsavverkning</t>
        </is>
      </c>
      <c r="D469" s="1" t="n">
        <v>44844</v>
      </c>
      <c r="E469" s="1" t="n">
        <v>46217</v>
      </c>
      <c r="F469" t="inlineStr">
        <is>
          <t>ÖREBRO LÄN</t>
        </is>
      </c>
      <c r="G469" t="inlineStr">
        <is>
          <t>ASKERSUND</t>
        </is>
      </c>
      <c r="I469" t="n">
        <v>4.8</v>
      </c>
      <c r="J469" t="n">
        <v>0</v>
      </c>
      <c r="K469" t="n">
        <v>0</v>
      </c>
      <c r="L469" t="n">
        <v>0</v>
      </c>
      <c r="M469" t="n">
        <v>0</v>
      </c>
      <c r="N469" t="n">
        <v>0</v>
      </c>
      <c r="O469" t="n">
        <v>0</v>
      </c>
      <c r="P469" t="n">
        <v>0</v>
      </c>
      <c r="Q469" t="n">
        <v>0</v>
      </c>
      <c r="R469" t="n">
        <v>0</v>
      </c>
      <c r="S469" t="n">
        <v>0</v>
      </c>
      <c r="T469" t="n">
        <v>0</v>
      </c>
      <c r="U469" s="2" t="inlineStr"/>
    </row>
    <row r="470" ht="15" customHeight="1">
      <c r="A470" t="inlineStr">
        <is>
          <t>A 31120-2024</t>
        </is>
      </c>
      <c r="B470" t="inlineStr">
        <is>
          <t>avverkningsanmälan</t>
        </is>
      </c>
      <c r="C470" t="inlineStr">
        <is>
          <t>Föryngringsavverkning</t>
        </is>
      </c>
      <c r="D470" s="1" t="n">
        <v>45502</v>
      </c>
      <c r="E470" s="1" t="n">
        <v>46217</v>
      </c>
      <c r="F470" t="inlineStr">
        <is>
          <t>ÖREBRO LÄN</t>
        </is>
      </c>
      <c r="G470" t="inlineStr">
        <is>
          <t>ASKERSUND</t>
        </is>
      </c>
      <c r="I470" t="n">
        <v>2.8</v>
      </c>
      <c r="J470" t="n">
        <v>0</v>
      </c>
      <c r="K470" t="n">
        <v>0</v>
      </c>
      <c r="L470" t="n">
        <v>0</v>
      </c>
      <c r="M470" t="n">
        <v>0</v>
      </c>
      <c r="N470" t="n">
        <v>0</v>
      </c>
      <c r="O470" t="n">
        <v>0</v>
      </c>
      <c r="P470" t="n">
        <v>0</v>
      </c>
      <c r="Q470" t="n">
        <v>0</v>
      </c>
      <c r="R470" t="n">
        <v>0</v>
      </c>
      <c r="S470" t="n">
        <v>0</v>
      </c>
      <c r="T470" t="n">
        <v>0</v>
      </c>
      <c r="U470" s="2" t="inlineStr"/>
    </row>
    <row r="471" ht="15" customHeight="1">
      <c r="A471" t="inlineStr">
        <is>
          <t>A 43139-2021</t>
        </is>
      </c>
      <c r="B471" t="inlineStr">
        <is>
          <t>avverkningsanmälan</t>
        </is>
      </c>
      <c r="C471" t="inlineStr">
        <is>
          <t>Föryngringsavverkning</t>
        </is>
      </c>
      <c r="D471" s="1" t="n">
        <v>44431</v>
      </c>
      <c r="E471" s="1" t="n">
        <v>46217</v>
      </c>
      <c r="F471" t="inlineStr">
        <is>
          <t>ÖREBRO LÄN</t>
        </is>
      </c>
      <c r="G471" t="inlineStr">
        <is>
          <t>ASKERSUND</t>
        </is>
      </c>
      <c r="I471" t="n">
        <v>2.2</v>
      </c>
      <c r="J471" t="n">
        <v>0</v>
      </c>
      <c r="K471" t="n">
        <v>0</v>
      </c>
      <c r="L471" t="n">
        <v>0</v>
      </c>
      <c r="M471" t="n">
        <v>0</v>
      </c>
      <c r="N471" t="n">
        <v>0</v>
      </c>
      <c r="O471" t="n">
        <v>0</v>
      </c>
      <c r="P471" t="n">
        <v>0</v>
      </c>
      <c r="Q471" t="n">
        <v>0</v>
      </c>
      <c r="R471" t="n">
        <v>0</v>
      </c>
      <c r="S471" t="n">
        <v>0</v>
      </c>
      <c r="T471" t="n">
        <v>0</v>
      </c>
      <c r="U471" s="2" t="inlineStr"/>
    </row>
    <row r="472" ht="15" customHeight="1">
      <c r="A472" t="inlineStr">
        <is>
          <t>A 51239-2021</t>
        </is>
      </c>
      <c r="B472" t="inlineStr">
        <is>
          <t>avverkningsanmälan</t>
        </is>
      </c>
      <c r="C472" t="inlineStr">
        <is>
          <t>Föryngringsavverkning</t>
        </is>
      </c>
      <c r="D472" s="1" t="n">
        <v>44461</v>
      </c>
      <c r="E472" s="1" t="n">
        <v>46217</v>
      </c>
      <c r="F472" t="inlineStr">
        <is>
          <t>ÖREBRO LÄN</t>
        </is>
      </c>
      <c r="G472" t="inlineStr">
        <is>
          <t>ASKERSUND</t>
        </is>
      </c>
      <c r="H472" t="inlineStr">
        <is>
          <t>Sveaskog</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21055-2024</t>
        </is>
      </c>
      <c r="B473" t="inlineStr">
        <is>
          <t>avverkningsanmälan</t>
        </is>
      </c>
      <c r="C473" t="inlineStr">
        <is>
          <t>Föryngringsavverkning</t>
        </is>
      </c>
      <c r="D473" s="1" t="n">
        <v>45439</v>
      </c>
      <c r="E473" s="1" t="n">
        <v>46217</v>
      </c>
      <c r="F473" t="inlineStr">
        <is>
          <t>ÖREBRO LÄN</t>
        </is>
      </c>
      <c r="G473" t="inlineStr">
        <is>
          <t>ASKERSUND</t>
        </is>
      </c>
      <c r="I473" t="n">
        <v>8.6</v>
      </c>
      <c r="J473" t="n">
        <v>0</v>
      </c>
      <c r="K473" t="n">
        <v>0</v>
      </c>
      <c r="L473" t="n">
        <v>0</v>
      </c>
      <c r="M473" t="n">
        <v>0</v>
      </c>
      <c r="N473" t="n">
        <v>0</v>
      </c>
      <c r="O473" t="n">
        <v>0</v>
      </c>
      <c r="P473" t="n">
        <v>0</v>
      </c>
      <c r="Q473" t="n">
        <v>0</v>
      </c>
      <c r="R473" t="n">
        <v>0</v>
      </c>
      <c r="S473" t="n">
        <v>0</v>
      </c>
      <c r="T473" t="n">
        <v>0</v>
      </c>
      <c r="U473" s="2" t="inlineStr"/>
    </row>
    <row r="474" ht="15" customHeight="1">
      <c r="A474" t="inlineStr">
        <is>
          <t>A 38624-2023</t>
        </is>
      </c>
      <c r="B474" t="inlineStr">
        <is>
          <t>avverkningsanmälan</t>
        </is>
      </c>
      <c r="C474" t="inlineStr">
        <is>
          <t>Föryngringsavverkning</t>
        </is>
      </c>
      <c r="D474" s="1" t="n">
        <v>45162</v>
      </c>
      <c r="E474" s="1" t="n">
        <v>46217</v>
      </c>
      <c r="F474" t="inlineStr">
        <is>
          <t>ÖREBRO LÄN</t>
        </is>
      </c>
      <c r="G474" t="inlineStr">
        <is>
          <t>ASKERSUND</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41095-2021</t>
        </is>
      </c>
      <c r="B475" t="inlineStr">
        <is>
          <t>avverkningsanmälan</t>
        </is>
      </c>
      <c r="C475" t="inlineStr">
        <is>
          <t>Föryngringsavverkning</t>
        </is>
      </c>
      <c r="D475" s="1" t="n">
        <v>44422</v>
      </c>
      <c r="E475" s="1" t="n">
        <v>46217</v>
      </c>
      <c r="F475" t="inlineStr">
        <is>
          <t>ÖREBRO LÄN</t>
        </is>
      </c>
      <c r="G475" t="inlineStr">
        <is>
          <t>ASKERSUND</t>
        </is>
      </c>
      <c r="H475" t="inlineStr">
        <is>
          <t>Sveaskog</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30610-2024</t>
        </is>
      </c>
      <c r="B476" t="inlineStr">
        <is>
          <t>avverkningsanmälan</t>
        </is>
      </c>
      <c r="C476" t="inlineStr">
        <is>
          <t>Föryngringsavverkning</t>
        </is>
      </c>
      <c r="D476" s="1" t="n">
        <v>45495</v>
      </c>
      <c r="E476" s="1" t="n">
        <v>46217</v>
      </c>
      <c r="F476" t="inlineStr">
        <is>
          <t>ÖREBRO LÄN</t>
        </is>
      </c>
      <c r="G476" t="inlineStr">
        <is>
          <t>ASKERSUND</t>
        </is>
      </c>
      <c r="I476" t="n">
        <v>8.800000000000001</v>
      </c>
      <c r="J476" t="n">
        <v>0</v>
      </c>
      <c r="K476" t="n">
        <v>0</v>
      </c>
      <c r="L476" t="n">
        <v>0</v>
      </c>
      <c r="M476" t="n">
        <v>0</v>
      </c>
      <c r="N476" t="n">
        <v>0</v>
      </c>
      <c r="O476" t="n">
        <v>0</v>
      </c>
      <c r="P476" t="n">
        <v>0</v>
      </c>
      <c r="Q476" t="n">
        <v>0</v>
      </c>
      <c r="R476" t="n">
        <v>0</v>
      </c>
      <c r="S476" t="n">
        <v>0</v>
      </c>
      <c r="T476" t="n">
        <v>0</v>
      </c>
      <c r="U476" s="2" t="inlineStr"/>
    </row>
    <row r="477" ht="15" customHeight="1">
      <c r="A477" t="inlineStr">
        <is>
          <t>A 11625-2022</t>
        </is>
      </c>
      <c r="B477" t="inlineStr">
        <is>
          <t>avverkningsanmälan</t>
        </is>
      </c>
      <c r="C477" t="inlineStr">
        <is>
          <t>Föryngringsavverkning</t>
        </is>
      </c>
      <c r="D477" s="1" t="n">
        <v>44631</v>
      </c>
      <c r="E477" s="1" t="n">
        <v>46217</v>
      </c>
      <c r="F477" t="inlineStr">
        <is>
          <t>ÖREBRO LÄN</t>
        </is>
      </c>
      <c r="G477" t="inlineStr">
        <is>
          <t>ASKERSUND</t>
        </is>
      </c>
      <c r="I477" t="n">
        <v>9.800000000000001</v>
      </c>
      <c r="J477" t="n">
        <v>0</v>
      </c>
      <c r="K477" t="n">
        <v>0</v>
      </c>
      <c r="L477" t="n">
        <v>0</v>
      </c>
      <c r="M477" t="n">
        <v>0</v>
      </c>
      <c r="N477" t="n">
        <v>0</v>
      </c>
      <c r="O477" t="n">
        <v>0</v>
      </c>
      <c r="P477" t="n">
        <v>0</v>
      </c>
      <c r="Q477" t="n">
        <v>0</v>
      </c>
      <c r="R477" t="n">
        <v>0</v>
      </c>
      <c r="S477" t="n">
        <v>0</v>
      </c>
      <c r="T477" t="n">
        <v>0</v>
      </c>
      <c r="U477" s="2" t="inlineStr"/>
    </row>
    <row r="478" ht="15" customHeight="1">
      <c r="A478" t="inlineStr">
        <is>
          <t>A 52289-2023</t>
        </is>
      </c>
      <c r="B478" t="inlineStr">
        <is>
          <t>avverkningsanmälan</t>
        </is>
      </c>
      <c r="C478" t="inlineStr">
        <is>
          <t>Föryngringsavverkning</t>
        </is>
      </c>
      <c r="D478" s="1" t="n">
        <v>45224</v>
      </c>
      <c r="E478" s="1" t="n">
        <v>46217</v>
      </c>
      <c r="F478" t="inlineStr">
        <is>
          <t>ÖREBRO LÄN</t>
        </is>
      </c>
      <c r="G478" t="inlineStr">
        <is>
          <t>ASKERSUND</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25528-2023</t>
        </is>
      </c>
      <c r="B479" t="inlineStr">
        <is>
          <t>avverkningsanmälan</t>
        </is>
      </c>
      <c r="C479" t="inlineStr">
        <is>
          <t>Föryngringsavverkning</t>
        </is>
      </c>
      <c r="D479" s="1" t="n">
        <v>45089</v>
      </c>
      <c r="E479" s="1" t="n">
        <v>46217</v>
      </c>
      <c r="F479" t="inlineStr">
        <is>
          <t>ÖREBRO LÄN</t>
        </is>
      </c>
      <c r="G479" t="inlineStr">
        <is>
          <t>ASKERSUND</t>
        </is>
      </c>
      <c r="I479" t="n">
        <v>2.1</v>
      </c>
      <c r="J479" t="n">
        <v>0</v>
      </c>
      <c r="K479" t="n">
        <v>0</v>
      </c>
      <c r="L479" t="n">
        <v>0</v>
      </c>
      <c r="M479" t="n">
        <v>0</v>
      </c>
      <c r="N479" t="n">
        <v>0</v>
      </c>
      <c r="O479" t="n">
        <v>0</v>
      </c>
      <c r="P479" t="n">
        <v>0</v>
      </c>
      <c r="Q479" t="n">
        <v>0</v>
      </c>
      <c r="R479" t="n">
        <v>0</v>
      </c>
      <c r="S479" t="n">
        <v>0</v>
      </c>
      <c r="T479" t="n">
        <v>0</v>
      </c>
      <c r="U479" s="2" t="inlineStr"/>
    </row>
    <row r="480" ht="15" customHeight="1">
      <c r="A480" t="inlineStr">
        <is>
          <t>A 61517-2021</t>
        </is>
      </c>
      <c r="B480" t="inlineStr">
        <is>
          <t>avverkningsanmälan</t>
        </is>
      </c>
      <c r="C480" t="inlineStr">
        <is>
          <t>Föryngringsavverkning</t>
        </is>
      </c>
      <c r="D480" s="1" t="n">
        <v>44501</v>
      </c>
      <c r="E480" s="1" t="n">
        <v>46217</v>
      </c>
      <c r="F480" t="inlineStr">
        <is>
          <t>ÖREBRO LÄN</t>
        </is>
      </c>
      <c r="G480" t="inlineStr">
        <is>
          <t>ASKERSUND</t>
        </is>
      </c>
      <c r="I480" t="n">
        <v>2.8</v>
      </c>
      <c r="J480" t="n">
        <v>0</v>
      </c>
      <c r="K480" t="n">
        <v>0</v>
      </c>
      <c r="L480" t="n">
        <v>0</v>
      </c>
      <c r="M480" t="n">
        <v>0</v>
      </c>
      <c r="N480" t="n">
        <v>0</v>
      </c>
      <c r="O480" t="n">
        <v>0</v>
      </c>
      <c r="P480" t="n">
        <v>0</v>
      </c>
      <c r="Q480" t="n">
        <v>0</v>
      </c>
      <c r="R480" t="n">
        <v>0</v>
      </c>
      <c r="S480" t="n">
        <v>0</v>
      </c>
      <c r="T480" t="n">
        <v>0</v>
      </c>
      <c r="U480" s="2" t="inlineStr"/>
    </row>
    <row r="481" ht="15" customHeight="1">
      <c r="A481" t="inlineStr">
        <is>
          <t>A 28897-2023</t>
        </is>
      </c>
      <c r="B481" t="inlineStr">
        <is>
          <t>avverkningsanmälan</t>
        </is>
      </c>
      <c r="C481" t="inlineStr">
        <is>
          <t>Föryngringsavverkning</t>
        </is>
      </c>
      <c r="D481" s="1" t="n">
        <v>45104</v>
      </c>
      <c r="E481" s="1" t="n">
        <v>46217</v>
      </c>
      <c r="F481" t="inlineStr">
        <is>
          <t>ÖREBRO LÄN</t>
        </is>
      </c>
      <c r="G481" t="inlineStr">
        <is>
          <t>ASKERSUND</t>
        </is>
      </c>
      <c r="I481" t="n">
        <v>9.300000000000001</v>
      </c>
      <c r="J481" t="n">
        <v>0</v>
      </c>
      <c r="K481" t="n">
        <v>0</v>
      </c>
      <c r="L481" t="n">
        <v>0</v>
      </c>
      <c r="M481" t="n">
        <v>0</v>
      </c>
      <c r="N481" t="n">
        <v>0</v>
      </c>
      <c r="O481" t="n">
        <v>0</v>
      </c>
      <c r="P481" t="n">
        <v>0</v>
      </c>
      <c r="Q481" t="n">
        <v>0</v>
      </c>
      <c r="R481" t="n">
        <v>0</v>
      </c>
      <c r="S481" t="n">
        <v>0</v>
      </c>
      <c r="T481" t="n">
        <v>0</v>
      </c>
      <c r="U481" s="2" t="inlineStr"/>
    </row>
    <row r="482" ht="15" customHeight="1">
      <c r="A482" t="inlineStr">
        <is>
          <t>A 918-2025</t>
        </is>
      </c>
      <c r="B482" t="inlineStr">
        <is>
          <t>avverkningsanmälan</t>
        </is>
      </c>
      <c r="C482" t="inlineStr">
        <is>
          <t>Föryngringsavverkning</t>
        </is>
      </c>
      <c r="D482" s="1" t="n">
        <v>45664</v>
      </c>
      <c r="E482" s="1" t="n">
        <v>46217</v>
      </c>
      <c r="F482" t="inlineStr">
        <is>
          <t>ÖREBRO LÄN</t>
        </is>
      </c>
      <c r="G482" t="inlineStr">
        <is>
          <t>ASKERSUND</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920-2025</t>
        </is>
      </c>
      <c r="B483" t="inlineStr">
        <is>
          <t>avverkningsanmälan</t>
        </is>
      </c>
      <c r="C483" t="inlineStr">
        <is>
          <t>Föryngringsavverkning</t>
        </is>
      </c>
      <c r="D483" s="1" t="n">
        <v>45664</v>
      </c>
      <c r="E483" s="1" t="n">
        <v>46217</v>
      </c>
      <c r="F483" t="inlineStr">
        <is>
          <t>ÖREBRO LÄN</t>
        </is>
      </c>
      <c r="G483" t="inlineStr">
        <is>
          <t>ASKERSUND</t>
        </is>
      </c>
      <c r="I483" t="n">
        <v>12.9</v>
      </c>
      <c r="J483" t="n">
        <v>0</v>
      </c>
      <c r="K483" t="n">
        <v>0</v>
      </c>
      <c r="L483" t="n">
        <v>0</v>
      </c>
      <c r="M483" t="n">
        <v>0</v>
      </c>
      <c r="N483" t="n">
        <v>0</v>
      </c>
      <c r="O483" t="n">
        <v>0</v>
      </c>
      <c r="P483" t="n">
        <v>0</v>
      </c>
      <c r="Q483" t="n">
        <v>0</v>
      </c>
      <c r="R483" t="n">
        <v>0</v>
      </c>
      <c r="S483" t="n">
        <v>0</v>
      </c>
      <c r="T483" t="n">
        <v>0</v>
      </c>
      <c r="U483" s="2" t="inlineStr"/>
    </row>
    <row r="484" ht="15" customHeight="1">
      <c r="A484" t="inlineStr">
        <is>
          <t>A 20184-2024</t>
        </is>
      </c>
      <c r="B484" t="inlineStr">
        <is>
          <t>avverkningsanmälan</t>
        </is>
      </c>
      <c r="C484" t="inlineStr">
        <is>
          <t>Avverkning för att bevara och utveckla /försöksver</t>
        </is>
      </c>
      <c r="D484" s="1" t="n">
        <v>45434</v>
      </c>
      <c r="E484" s="1" t="n">
        <v>46217</v>
      </c>
      <c r="F484" t="inlineStr">
        <is>
          <t>ÖREBRO LÄN</t>
        </is>
      </c>
      <c r="G484" t="inlineStr">
        <is>
          <t>ASKERSUND</t>
        </is>
      </c>
      <c r="H484" t="inlineStr">
        <is>
          <t>Sveaskog</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9437-2025</t>
        </is>
      </c>
      <c r="B485" t="inlineStr">
        <is>
          <t>avverkningsanmälan</t>
        </is>
      </c>
      <c r="C485" t="inlineStr">
        <is>
          <t>Föryngringsavverkning</t>
        </is>
      </c>
      <c r="D485" s="1" t="n">
        <v>45715</v>
      </c>
      <c r="E485" s="1" t="n">
        <v>46217</v>
      </c>
      <c r="F485" t="inlineStr">
        <is>
          <t>ÖREBRO LÄN</t>
        </is>
      </c>
      <c r="G485" t="inlineStr">
        <is>
          <t>ASKERSUND</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916-2025</t>
        </is>
      </c>
      <c r="B486" t="inlineStr">
        <is>
          <t>avverkningsanmälan</t>
        </is>
      </c>
      <c r="C486" t="inlineStr">
        <is>
          <t>Föryngringsavverkning</t>
        </is>
      </c>
      <c r="D486" s="1" t="n">
        <v>45664</v>
      </c>
      <c r="E486" s="1" t="n">
        <v>46217</v>
      </c>
      <c r="F486" t="inlineStr">
        <is>
          <t>ÖREBRO LÄN</t>
        </is>
      </c>
      <c r="G486" t="inlineStr">
        <is>
          <t>ASKERSUND</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8367-2025</t>
        </is>
      </c>
      <c r="B487" t="inlineStr">
        <is>
          <t>avverkningsanmälan</t>
        </is>
      </c>
      <c r="C487" t="inlineStr">
        <is>
          <t>Föryngringsavverkning</t>
        </is>
      </c>
      <c r="D487" s="1" t="n">
        <v>45708</v>
      </c>
      <c r="E487" s="1" t="n">
        <v>46217</v>
      </c>
      <c r="F487" t="inlineStr">
        <is>
          <t>ÖREBRO LÄN</t>
        </is>
      </c>
      <c r="G487" t="inlineStr">
        <is>
          <t>ASKERSUND</t>
        </is>
      </c>
      <c r="I487" t="n">
        <v>2.2</v>
      </c>
      <c r="J487" t="n">
        <v>0</v>
      </c>
      <c r="K487" t="n">
        <v>0</v>
      </c>
      <c r="L487" t="n">
        <v>0</v>
      </c>
      <c r="M487" t="n">
        <v>0</v>
      </c>
      <c r="N487" t="n">
        <v>0</v>
      </c>
      <c r="O487" t="n">
        <v>0</v>
      </c>
      <c r="P487" t="n">
        <v>0</v>
      </c>
      <c r="Q487" t="n">
        <v>0</v>
      </c>
      <c r="R487" t="n">
        <v>0</v>
      </c>
      <c r="S487" t="n">
        <v>0</v>
      </c>
      <c r="T487" t="n">
        <v>0</v>
      </c>
      <c r="U487" s="2" t="inlineStr"/>
    </row>
    <row r="488" ht="15" customHeight="1">
      <c r="A488" t="inlineStr">
        <is>
          <t>A 27428-2024</t>
        </is>
      </c>
      <c r="B488" t="inlineStr">
        <is>
          <t>avverkningsanmälan</t>
        </is>
      </c>
      <c r="C488" t="inlineStr">
        <is>
          <t>Föryngringsavverkning</t>
        </is>
      </c>
      <c r="D488" s="1" t="n">
        <v>45473</v>
      </c>
      <c r="E488" s="1" t="n">
        <v>46217</v>
      </c>
      <c r="F488" t="inlineStr">
        <is>
          <t>ÖREBRO LÄN</t>
        </is>
      </c>
      <c r="G488" t="inlineStr">
        <is>
          <t>ASKERSUND</t>
        </is>
      </c>
      <c r="I488" t="n">
        <v>4.4</v>
      </c>
      <c r="J488" t="n">
        <v>0</v>
      </c>
      <c r="K488" t="n">
        <v>0</v>
      </c>
      <c r="L488" t="n">
        <v>0</v>
      </c>
      <c r="M488" t="n">
        <v>0</v>
      </c>
      <c r="N488" t="n">
        <v>0</v>
      </c>
      <c r="O488" t="n">
        <v>0</v>
      </c>
      <c r="P488" t="n">
        <v>0</v>
      </c>
      <c r="Q488" t="n">
        <v>0</v>
      </c>
      <c r="R488" t="n">
        <v>0</v>
      </c>
      <c r="S488" t="n">
        <v>0</v>
      </c>
      <c r="T488" t="n">
        <v>0</v>
      </c>
      <c r="U488" s="2" t="inlineStr"/>
    </row>
    <row r="489" ht="15" customHeight="1">
      <c r="A489" t="inlineStr">
        <is>
          <t>A 59349-2023</t>
        </is>
      </c>
      <c r="B489" t="inlineStr">
        <is>
          <t>avverkningsanmälan</t>
        </is>
      </c>
      <c r="C489" t="inlineStr">
        <is>
          <t>Föryngringsavverkning</t>
        </is>
      </c>
      <c r="D489" s="1" t="n">
        <v>45253</v>
      </c>
      <c r="E489" s="1" t="n">
        <v>46217</v>
      </c>
      <c r="F489" t="inlineStr">
        <is>
          <t>ÖREBRO LÄN</t>
        </is>
      </c>
      <c r="G489" t="inlineStr">
        <is>
          <t>ASKERSUND</t>
        </is>
      </c>
      <c r="I489" t="n">
        <v>4.7</v>
      </c>
      <c r="J489" t="n">
        <v>0</v>
      </c>
      <c r="K489" t="n">
        <v>0</v>
      </c>
      <c r="L489" t="n">
        <v>0</v>
      </c>
      <c r="M489" t="n">
        <v>0</v>
      </c>
      <c r="N489" t="n">
        <v>0</v>
      </c>
      <c r="O489" t="n">
        <v>0</v>
      </c>
      <c r="P489" t="n">
        <v>0</v>
      </c>
      <c r="Q489" t="n">
        <v>0</v>
      </c>
      <c r="R489" t="n">
        <v>0</v>
      </c>
      <c r="S489" t="n">
        <v>0</v>
      </c>
      <c r="T489" t="n">
        <v>0</v>
      </c>
      <c r="U489" s="2" t="inlineStr"/>
    </row>
    <row r="490" ht="15" customHeight="1">
      <c r="A490" t="inlineStr">
        <is>
          <t>A 12421-2023</t>
        </is>
      </c>
      <c r="B490" t="inlineStr">
        <is>
          <t>avverkningsanmälan</t>
        </is>
      </c>
      <c r="C490" t="inlineStr">
        <is>
          <t>Föryngringsavverkning</t>
        </is>
      </c>
      <c r="D490" s="1" t="n">
        <v>44999</v>
      </c>
      <c r="E490" s="1" t="n">
        <v>46217</v>
      </c>
      <c r="F490" t="inlineStr">
        <is>
          <t>ÖREBRO LÄN</t>
        </is>
      </c>
      <c r="G490" t="inlineStr">
        <is>
          <t>ASKERSUND</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21048-2025</t>
        </is>
      </c>
      <c r="B491" t="inlineStr">
        <is>
          <t>avverkningsanmälan</t>
        </is>
      </c>
      <c r="C491" t="inlineStr">
        <is>
          <t>Föryngringsavverkning</t>
        </is>
      </c>
      <c r="D491" s="1" t="n">
        <v>45777</v>
      </c>
      <c r="E491" s="1" t="n">
        <v>46217</v>
      </c>
      <c r="F491" t="inlineStr">
        <is>
          <t>ÖREBRO LÄN</t>
        </is>
      </c>
      <c r="G491" t="inlineStr">
        <is>
          <t>ASKERSUND</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1341-2024</t>
        </is>
      </c>
      <c r="B492" t="inlineStr">
        <is>
          <t>avverkningsanmälan</t>
        </is>
      </c>
      <c r="C492" t="inlineStr">
        <is>
          <t>Föryngringsavverkning</t>
        </is>
      </c>
      <c r="D492" s="1" t="n">
        <v>45303</v>
      </c>
      <c r="E492" s="1" t="n">
        <v>46217</v>
      </c>
      <c r="F492" t="inlineStr">
        <is>
          <t>ÖREBRO LÄN</t>
        </is>
      </c>
      <c r="G492" t="inlineStr">
        <is>
          <t>ASKERSUND</t>
        </is>
      </c>
      <c r="I492" t="n">
        <v>3.5</v>
      </c>
      <c r="J492" t="n">
        <v>0</v>
      </c>
      <c r="K492" t="n">
        <v>0</v>
      </c>
      <c r="L492" t="n">
        <v>0</v>
      </c>
      <c r="M492" t="n">
        <v>0</v>
      </c>
      <c r="N492" t="n">
        <v>0</v>
      </c>
      <c r="O492" t="n">
        <v>0</v>
      </c>
      <c r="P492" t="n">
        <v>0</v>
      </c>
      <c r="Q492" t="n">
        <v>0</v>
      </c>
      <c r="R492" t="n">
        <v>0</v>
      </c>
      <c r="S492" t="n">
        <v>0</v>
      </c>
      <c r="T492" t="n">
        <v>0</v>
      </c>
      <c r="U492" s="2" t="inlineStr"/>
    </row>
    <row r="493" ht="15" customHeight="1">
      <c r="A493" t="inlineStr">
        <is>
          <t>A 41073-2024</t>
        </is>
      </c>
      <c r="B493" t="inlineStr">
        <is>
          <t>avverkningsanmälan</t>
        </is>
      </c>
      <c r="C493" t="inlineStr">
        <is>
          <t>Föryngringsavverkning</t>
        </is>
      </c>
      <c r="D493" s="1" t="n">
        <v>45559</v>
      </c>
      <c r="E493" s="1" t="n">
        <v>46217</v>
      </c>
      <c r="F493" t="inlineStr">
        <is>
          <t>ÖREBRO LÄN</t>
        </is>
      </c>
      <c r="G493" t="inlineStr">
        <is>
          <t>ASKERSUND</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50416-2024</t>
        </is>
      </c>
      <c r="B494" t="inlineStr">
        <is>
          <t>avverkningsanmälan</t>
        </is>
      </c>
      <c r="C494" t="inlineStr">
        <is>
          <t>Föryngringsavverkning</t>
        </is>
      </c>
      <c r="D494" s="1" t="n">
        <v>45601</v>
      </c>
      <c r="E494" s="1" t="n">
        <v>46217</v>
      </c>
      <c r="F494" t="inlineStr">
        <is>
          <t>ÖREBRO LÄN</t>
        </is>
      </c>
      <c r="G494" t="inlineStr">
        <is>
          <t>ASKERSUND</t>
        </is>
      </c>
      <c r="I494" t="n">
        <v>6</v>
      </c>
      <c r="J494" t="n">
        <v>0</v>
      </c>
      <c r="K494" t="n">
        <v>0</v>
      </c>
      <c r="L494" t="n">
        <v>0</v>
      </c>
      <c r="M494" t="n">
        <v>0</v>
      </c>
      <c r="N494" t="n">
        <v>0</v>
      </c>
      <c r="O494" t="n">
        <v>0</v>
      </c>
      <c r="P494" t="n">
        <v>0</v>
      </c>
      <c r="Q494" t="n">
        <v>0</v>
      </c>
      <c r="R494" t="n">
        <v>0</v>
      </c>
      <c r="S494" t="n">
        <v>0</v>
      </c>
      <c r="T494" t="n">
        <v>0</v>
      </c>
      <c r="U494" s="2" t="inlineStr"/>
    </row>
    <row r="495" ht="15" customHeight="1">
      <c r="A495" t="inlineStr">
        <is>
          <t>A 26752-2024</t>
        </is>
      </c>
      <c r="B495" t="inlineStr">
        <is>
          <t>avverkningsanmälan</t>
        </is>
      </c>
      <c r="C495" t="inlineStr">
        <is>
          <t>Föryngringsavverkning</t>
        </is>
      </c>
      <c r="D495" s="1" t="n">
        <v>45470</v>
      </c>
      <c r="E495" s="1" t="n">
        <v>46217</v>
      </c>
      <c r="F495" t="inlineStr">
        <is>
          <t>ÖREBRO LÄN</t>
        </is>
      </c>
      <c r="G495" t="inlineStr">
        <is>
          <t>ASKERSUND</t>
        </is>
      </c>
      <c r="I495" t="n">
        <v>2.6</v>
      </c>
      <c r="J495" t="n">
        <v>0</v>
      </c>
      <c r="K495" t="n">
        <v>0</v>
      </c>
      <c r="L495" t="n">
        <v>0</v>
      </c>
      <c r="M495" t="n">
        <v>0</v>
      </c>
      <c r="N495" t="n">
        <v>0</v>
      </c>
      <c r="O495" t="n">
        <v>0</v>
      </c>
      <c r="P495" t="n">
        <v>0</v>
      </c>
      <c r="Q495" t="n">
        <v>0</v>
      </c>
      <c r="R495" t="n">
        <v>0</v>
      </c>
      <c r="S495" t="n">
        <v>0</v>
      </c>
      <c r="T495" t="n">
        <v>0</v>
      </c>
      <c r="U495" s="2" t="inlineStr"/>
    </row>
    <row r="496" ht="15" customHeight="1">
      <c r="A496" t="inlineStr">
        <is>
          <t>A 1412-2025</t>
        </is>
      </c>
      <c r="B496" t="inlineStr">
        <is>
          <t>avverkningsanmälan</t>
        </is>
      </c>
      <c r="C496" t="inlineStr">
        <is>
          <t>Föryngringsavverkning</t>
        </is>
      </c>
      <c r="D496" s="1" t="n">
        <v>45667</v>
      </c>
      <c r="E496" s="1" t="n">
        <v>46217</v>
      </c>
      <c r="F496" t="inlineStr">
        <is>
          <t>ÖREBRO LÄN</t>
        </is>
      </c>
      <c r="G496" t="inlineStr">
        <is>
          <t>ASKERSUND</t>
        </is>
      </c>
      <c r="I496" t="n">
        <v>1.9</v>
      </c>
      <c r="J496" t="n">
        <v>0</v>
      </c>
      <c r="K496" t="n">
        <v>0</v>
      </c>
      <c r="L496" t="n">
        <v>0</v>
      </c>
      <c r="M496" t="n">
        <v>0</v>
      </c>
      <c r="N496" t="n">
        <v>0</v>
      </c>
      <c r="O496" t="n">
        <v>0</v>
      </c>
      <c r="P496" t="n">
        <v>0</v>
      </c>
      <c r="Q496" t="n">
        <v>0</v>
      </c>
      <c r="R496" t="n">
        <v>0</v>
      </c>
      <c r="S496" t="n">
        <v>0</v>
      </c>
      <c r="T496" t="n">
        <v>0</v>
      </c>
      <c r="U496" s="2" t="inlineStr"/>
    </row>
    <row r="497" ht="15" customHeight="1">
      <c r="A497" t="inlineStr">
        <is>
          <t>A 16292-2024</t>
        </is>
      </c>
      <c r="B497" t="inlineStr">
        <is>
          <t>avverkningsanmälan</t>
        </is>
      </c>
      <c r="C497" t="inlineStr">
        <is>
          <t>Föryngringsavverkning</t>
        </is>
      </c>
      <c r="D497" s="1" t="n">
        <v>45407</v>
      </c>
      <c r="E497" s="1" t="n">
        <v>46217</v>
      </c>
      <c r="F497" t="inlineStr">
        <is>
          <t>ÖREBRO LÄN</t>
        </is>
      </c>
      <c r="G497" t="inlineStr">
        <is>
          <t>ASKERSUND</t>
        </is>
      </c>
      <c r="I497" t="n">
        <v>5.9</v>
      </c>
      <c r="J497" t="n">
        <v>0</v>
      </c>
      <c r="K497" t="n">
        <v>0</v>
      </c>
      <c r="L497" t="n">
        <v>0</v>
      </c>
      <c r="M497" t="n">
        <v>0</v>
      </c>
      <c r="N497" t="n">
        <v>0</v>
      </c>
      <c r="O497" t="n">
        <v>0</v>
      </c>
      <c r="P497" t="n">
        <v>0</v>
      </c>
      <c r="Q497" t="n">
        <v>0</v>
      </c>
      <c r="R497" t="n">
        <v>0</v>
      </c>
      <c r="S497" t="n">
        <v>0</v>
      </c>
      <c r="T497" t="n">
        <v>0</v>
      </c>
      <c r="U497" s="2" t="inlineStr"/>
    </row>
    <row r="498" ht="15" customHeight="1">
      <c r="A498" t="inlineStr">
        <is>
          <t>A 43578-2024</t>
        </is>
      </c>
      <c r="B498" t="inlineStr">
        <is>
          <t>avverkningsanmälan</t>
        </is>
      </c>
      <c r="C498" t="inlineStr">
        <is>
          <t>Föryngringsavverkning</t>
        </is>
      </c>
      <c r="D498" s="1" t="n">
        <v>45569</v>
      </c>
      <c r="E498" s="1" t="n">
        <v>46217</v>
      </c>
      <c r="F498" t="inlineStr">
        <is>
          <t>ÖREBRO LÄN</t>
        </is>
      </c>
      <c r="G498" t="inlineStr">
        <is>
          <t>ASKERSUND</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54393-2024</t>
        </is>
      </c>
      <c r="B499" t="inlineStr">
        <is>
          <t>avverkningsanmälan</t>
        </is>
      </c>
      <c r="C499" t="inlineStr">
        <is>
          <t>Föryngringsavverkning</t>
        </is>
      </c>
      <c r="D499" s="1" t="n">
        <v>45617</v>
      </c>
      <c r="E499" s="1" t="n">
        <v>46217</v>
      </c>
      <c r="F499" t="inlineStr">
        <is>
          <t>ÖREBRO LÄN</t>
        </is>
      </c>
      <c r="G499" t="inlineStr">
        <is>
          <t>ASKERSUND</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10432-2025</t>
        </is>
      </c>
      <c r="B500" t="inlineStr">
        <is>
          <t>avverkningsanmälan</t>
        </is>
      </c>
      <c r="C500" t="inlineStr">
        <is>
          <t>Föryngringsavverkning</t>
        </is>
      </c>
      <c r="D500" s="1" t="n">
        <v>45720</v>
      </c>
      <c r="E500" s="1" t="n">
        <v>46217</v>
      </c>
      <c r="F500" t="inlineStr">
        <is>
          <t>ÖREBRO LÄN</t>
        </is>
      </c>
      <c r="G500" t="inlineStr">
        <is>
          <t>ASKERSUND</t>
        </is>
      </c>
      <c r="I500" t="n">
        <v>4.3</v>
      </c>
      <c r="J500" t="n">
        <v>0</v>
      </c>
      <c r="K500" t="n">
        <v>0</v>
      </c>
      <c r="L500" t="n">
        <v>0</v>
      </c>
      <c r="M500" t="n">
        <v>0</v>
      </c>
      <c r="N500" t="n">
        <v>0</v>
      </c>
      <c r="O500" t="n">
        <v>0</v>
      </c>
      <c r="P500" t="n">
        <v>0</v>
      </c>
      <c r="Q500" t="n">
        <v>0</v>
      </c>
      <c r="R500" t="n">
        <v>0</v>
      </c>
      <c r="S500" t="n">
        <v>0</v>
      </c>
      <c r="T500" t="n">
        <v>0</v>
      </c>
      <c r="U500" s="2" t="inlineStr"/>
    </row>
    <row r="501" ht="15" customHeight="1">
      <c r="A501" t="inlineStr">
        <is>
          <t>A 3457-2025</t>
        </is>
      </c>
      <c r="B501" t="inlineStr">
        <is>
          <t>avverkningsanmälan</t>
        </is>
      </c>
      <c r="C501" t="inlineStr">
        <is>
          <t>Avverkning för att bevara och utveckla /försöksver</t>
        </is>
      </c>
      <c r="D501" s="1" t="n">
        <v>45680</v>
      </c>
      <c r="E501" s="1" t="n">
        <v>46217</v>
      </c>
      <c r="F501" t="inlineStr">
        <is>
          <t>ÖREBRO LÄN</t>
        </is>
      </c>
      <c r="G501" t="inlineStr">
        <is>
          <t>ASKERSUND</t>
        </is>
      </c>
      <c r="H501" t="inlineStr">
        <is>
          <t>Sveaskog</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1332-2024</t>
        </is>
      </c>
      <c r="B502" t="inlineStr">
        <is>
          <t>avverkningsanmälan</t>
        </is>
      </c>
      <c r="C502" t="inlineStr">
        <is>
          <t>Föryngringsavverkning</t>
        </is>
      </c>
      <c r="D502" s="1" t="n">
        <v>45303</v>
      </c>
      <c r="E502" s="1" t="n">
        <v>46217</v>
      </c>
      <c r="F502" t="inlineStr">
        <is>
          <t>ÖREBRO LÄN</t>
        </is>
      </c>
      <c r="G502" t="inlineStr">
        <is>
          <t>ASKERSUND</t>
        </is>
      </c>
      <c r="I502" t="n">
        <v>5.6</v>
      </c>
      <c r="J502" t="n">
        <v>0</v>
      </c>
      <c r="K502" t="n">
        <v>0</v>
      </c>
      <c r="L502" t="n">
        <v>0</v>
      </c>
      <c r="M502" t="n">
        <v>0</v>
      </c>
      <c r="N502" t="n">
        <v>0</v>
      </c>
      <c r="O502" t="n">
        <v>0</v>
      </c>
      <c r="P502" t="n">
        <v>0</v>
      </c>
      <c r="Q502" t="n">
        <v>0</v>
      </c>
      <c r="R502" t="n">
        <v>0</v>
      </c>
      <c r="S502" t="n">
        <v>0</v>
      </c>
      <c r="T502" t="n">
        <v>0</v>
      </c>
      <c r="U502" s="2" t="inlineStr"/>
    </row>
    <row r="503" ht="15" customHeight="1">
      <c r="A503" t="inlineStr">
        <is>
          <t>A 29802-2025</t>
        </is>
      </c>
      <c r="B503" t="inlineStr">
        <is>
          <t>avverkningsanmälan</t>
        </is>
      </c>
      <c r="C503" t="inlineStr">
        <is>
          <t>Föryngringsavverkning</t>
        </is>
      </c>
      <c r="D503" s="1" t="n">
        <v>45825</v>
      </c>
      <c r="E503" s="1" t="n">
        <v>46217</v>
      </c>
      <c r="F503" t="inlineStr">
        <is>
          <t>ÖREBRO LÄN</t>
        </is>
      </c>
      <c r="G503" t="inlineStr">
        <is>
          <t>ASKERSUND</t>
        </is>
      </c>
      <c r="I503" t="n">
        <v>5.3</v>
      </c>
      <c r="J503" t="n">
        <v>0</v>
      </c>
      <c r="K503" t="n">
        <v>0</v>
      </c>
      <c r="L503" t="n">
        <v>0</v>
      </c>
      <c r="M503" t="n">
        <v>0</v>
      </c>
      <c r="N503" t="n">
        <v>0</v>
      </c>
      <c r="O503" t="n">
        <v>0</v>
      </c>
      <c r="P503" t="n">
        <v>0</v>
      </c>
      <c r="Q503" t="n">
        <v>0</v>
      </c>
      <c r="R503" t="n">
        <v>0</v>
      </c>
      <c r="S503" t="n">
        <v>0</v>
      </c>
      <c r="T503" t="n">
        <v>0</v>
      </c>
      <c r="U503" s="2" t="inlineStr"/>
    </row>
    <row r="504" ht="15" customHeight="1">
      <c r="A504" t="inlineStr">
        <is>
          <t>A 61139-2021</t>
        </is>
      </c>
      <c r="B504" t="inlineStr">
        <is>
          <t>avverkningsanmälan</t>
        </is>
      </c>
      <c r="C504" t="inlineStr">
        <is>
          <t>Föryngringsavverkning</t>
        </is>
      </c>
      <c r="D504" s="1" t="n">
        <v>44498</v>
      </c>
      <c r="E504" s="1" t="n">
        <v>46217</v>
      </c>
      <c r="F504" t="inlineStr">
        <is>
          <t>ÖREBRO LÄN</t>
        </is>
      </c>
      <c r="G504" t="inlineStr">
        <is>
          <t>ASKERSUND</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60114-2024</t>
        </is>
      </c>
      <c r="B505" t="inlineStr">
        <is>
          <t>avverkningsanmälan</t>
        </is>
      </c>
      <c r="C505" t="inlineStr">
        <is>
          <t>Avverkning för annat ändamål</t>
        </is>
      </c>
      <c r="D505" s="1" t="n">
        <v>45642</v>
      </c>
      <c r="E505" s="1" t="n">
        <v>46217</v>
      </c>
      <c r="F505" t="inlineStr">
        <is>
          <t>ÖREBRO LÄN</t>
        </is>
      </c>
      <c r="G505" t="inlineStr">
        <is>
          <t>ASKERSUND</t>
        </is>
      </c>
      <c r="I505" t="n">
        <v>10</v>
      </c>
      <c r="J505" t="n">
        <v>0</v>
      </c>
      <c r="K505" t="n">
        <v>0</v>
      </c>
      <c r="L505" t="n">
        <v>0</v>
      </c>
      <c r="M505" t="n">
        <v>0</v>
      </c>
      <c r="N505" t="n">
        <v>0</v>
      </c>
      <c r="O505" t="n">
        <v>0</v>
      </c>
      <c r="P505" t="n">
        <v>0</v>
      </c>
      <c r="Q505" t="n">
        <v>0</v>
      </c>
      <c r="R505" t="n">
        <v>0</v>
      </c>
      <c r="S505" t="n">
        <v>0</v>
      </c>
      <c r="T505" t="n">
        <v>0</v>
      </c>
      <c r="U505" s="2" t="inlineStr"/>
    </row>
    <row r="506" ht="15" customHeight="1">
      <c r="A506" t="inlineStr">
        <is>
          <t>A 13617-2022</t>
        </is>
      </c>
      <c r="B506" t="inlineStr">
        <is>
          <t>avverkningsanmälan</t>
        </is>
      </c>
      <c r="C506" t="inlineStr">
        <is>
          <t>Föryngringsavverkning</t>
        </is>
      </c>
      <c r="D506" s="1" t="n">
        <v>44648</v>
      </c>
      <c r="E506" s="1" t="n">
        <v>46217</v>
      </c>
      <c r="F506" t="inlineStr">
        <is>
          <t>ÖREBRO LÄN</t>
        </is>
      </c>
      <c r="G506" t="inlineStr">
        <is>
          <t>ASKERSUND</t>
        </is>
      </c>
      <c r="I506" t="n">
        <v>7.9</v>
      </c>
      <c r="J506" t="n">
        <v>0</v>
      </c>
      <c r="K506" t="n">
        <v>0</v>
      </c>
      <c r="L506" t="n">
        <v>0</v>
      </c>
      <c r="M506" t="n">
        <v>0</v>
      </c>
      <c r="N506" t="n">
        <v>0</v>
      </c>
      <c r="O506" t="n">
        <v>0</v>
      </c>
      <c r="P506" t="n">
        <v>0</v>
      </c>
      <c r="Q506" t="n">
        <v>0</v>
      </c>
      <c r="R506" t="n">
        <v>0</v>
      </c>
      <c r="S506" t="n">
        <v>0</v>
      </c>
      <c r="T506" t="n">
        <v>0</v>
      </c>
      <c r="U506" s="2" t="inlineStr"/>
    </row>
    <row r="507" ht="15" customHeight="1">
      <c r="A507" t="inlineStr">
        <is>
          <t>A 29983-2024</t>
        </is>
      </c>
      <c r="B507" t="inlineStr">
        <is>
          <t>avverkningsanmälan</t>
        </is>
      </c>
      <c r="C507" t="inlineStr">
        <is>
          <t>Avverkning för att bevara och utveckla /försöksver</t>
        </is>
      </c>
      <c r="D507" s="1" t="n">
        <v>45485</v>
      </c>
      <c r="E507" s="1" t="n">
        <v>46217</v>
      </c>
      <c r="F507" t="inlineStr">
        <is>
          <t>ÖREBRO LÄN</t>
        </is>
      </c>
      <c r="G507" t="inlineStr">
        <is>
          <t>ASKERSUND</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29985-2024</t>
        </is>
      </c>
      <c r="B508" t="inlineStr">
        <is>
          <t>avverkningsanmälan</t>
        </is>
      </c>
      <c r="C508" t="inlineStr">
        <is>
          <t>Avverkning för att bevara och utveckla /försöksver</t>
        </is>
      </c>
      <c r="D508" s="1" t="n">
        <v>45485</v>
      </c>
      <c r="E508" s="1" t="n">
        <v>46217</v>
      </c>
      <c r="F508" t="inlineStr">
        <is>
          <t>ÖREBRO LÄN</t>
        </is>
      </c>
      <c r="G508" t="inlineStr">
        <is>
          <t>ASKERSUND</t>
        </is>
      </c>
      <c r="H508" t="inlineStr">
        <is>
          <t>Kommuner</t>
        </is>
      </c>
      <c r="I508" t="n">
        <v>3.9</v>
      </c>
      <c r="J508" t="n">
        <v>0</v>
      </c>
      <c r="K508" t="n">
        <v>0</v>
      </c>
      <c r="L508" t="n">
        <v>0</v>
      </c>
      <c r="M508" t="n">
        <v>0</v>
      </c>
      <c r="N508" t="n">
        <v>0</v>
      </c>
      <c r="O508" t="n">
        <v>0</v>
      </c>
      <c r="P508" t="n">
        <v>0</v>
      </c>
      <c r="Q508" t="n">
        <v>0</v>
      </c>
      <c r="R508" t="n">
        <v>0</v>
      </c>
      <c r="S508" t="n">
        <v>0</v>
      </c>
      <c r="T508" t="n">
        <v>0</v>
      </c>
      <c r="U508" s="2" t="inlineStr"/>
    </row>
    <row r="509" ht="15" customHeight="1">
      <c r="A509" t="inlineStr">
        <is>
          <t>A 15572-2022</t>
        </is>
      </c>
      <c r="B509" t="inlineStr">
        <is>
          <t>avverkningsanmälan</t>
        </is>
      </c>
      <c r="C509" t="inlineStr">
        <is>
          <t>Föryngringsavverkning</t>
        </is>
      </c>
      <c r="D509" s="1" t="n">
        <v>44662</v>
      </c>
      <c r="E509" s="1" t="n">
        <v>46217</v>
      </c>
      <c r="F509" t="inlineStr">
        <is>
          <t>ÖREBRO LÄN</t>
        </is>
      </c>
      <c r="G509" t="inlineStr">
        <is>
          <t>ASKERSUND</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47983-2022</t>
        </is>
      </c>
      <c r="B510" t="inlineStr">
        <is>
          <t>avverkningsanmälan</t>
        </is>
      </c>
      <c r="C510" t="inlineStr">
        <is>
          <t>Föryngringsavverkning</t>
        </is>
      </c>
      <c r="D510" s="1" t="n">
        <v>44855</v>
      </c>
      <c r="E510" s="1" t="n">
        <v>46217</v>
      </c>
      <c r="F510" t="inlineStr">
        <is>
          <t>ÖREBRO LÄN</t>
        </is>
      </c>
      <c r="G510" t="inlineStr">
        <is>
          <t>ASKERSUND</t>
        </is>
      </c>
      <c r="I510" t="n">
        <v>4.3</v>
      </c>
      <c r="J510" t="n">
        <v>0</v>
      </c>
      <c r="K510" t="n">
        <v>0</v>
      </c>
      <c r="L510" t="n">
        <v>0</v>
      </c>
      <c r="M510" t="n">
        <v>0</v>
      </c>
      <c r="N510" t="n">
        <v>0</v>
      </c>
      <c r="O510" t="n">
        <v>0</v>
      </c>
      <c r="P510" t="n">
        <v>0</v>
      </c>
      <c r="Q510" t="n">
        <v>0</v>
      </c>
      <c r="R510" t="n">
        <v>0</v>
      </c>
      <c r="S510" t="n">
        <v>0</v>
      </c>
      <c r="T510" t="n">
        <v>0</v>
      </c>
      <c r="U510" s="2" t="inlineStr"/>
    </row>
    <row r="511" ht="15" customHeight="1">
      <c r="A511" t="inlineStr">
        <is>
          <t>A 26485-2022</t>
        </is>
      </c>
      <c r="B511" t="inlineStr">
        <is>
          <t>avverkningsanmälan</t>
        </is>
      </c>
      <c r="C511" t="inlineStr">
        <is>
          <t>Föryngringsavverkning</t>
        </is>
      </c>
      <c r="D511" s="1" t="n">
        <v>44739</v>
      </c>
      <c r="E511" s="1" t="n">
        <v>46217</v>
      </c>
      <c r="F511" t="inlineStr">
        <is>
          <t>ÖREBRO LÄN</t>
        </is>
      </c>
      <c r="G511" t="inlineStr">
        <is>
          <t>ASKERSUND</t>
        </is>
      </c>
      <c r="I511" t="n">
        <v>1.5</v>
      </c>
      <c r="J511" t="n">
        <v>0</v>
      </c>
      <c r="K511" t="n">
        <v>0</v>
      </c>
      <c r="L511" t="n">
        <v>0</v>
      </c>
      <c r="M511" t="n">
        <v>0</v>
      </c>
      <c r="N511" t="n">
        <v>0</v>
      </c>
      <c r="O511" t="n">
        <v>0</v>
      </c>
      <c r="P511" t="n">
        <v>0</v>
      </c>
      <c r="Q511" t="n">
        <v>0</v>
      </c>
      <c r="R511" t="n">
        <v>0</v>
      </c>
      <c r="S511" t="n">
        <v>0</v>
      </c>
      <c r="T511" t="n">
        <v>0</v>
      </c>
      <c r="U511" s="2" t="inlineStr"/>
    </row>
    <row r="512" ht="15" customHeight="1">
      <c r="A512" t="inlineStr">
        <is>
          <t>A 12797-2025</t>
        </is>
      </c>
      <c r="B512" t="inlineStr">
        <is>
          <t>avverkningsanmälan</t>
        </is>
      </c>
      <c r="C512" t="inlineStr">
        <is>
          <t>Föryngringsavverkning</t>
        </is>
      </c>
      <c r="D512" s="1" t="n">
        <v>45733</v>
      </c>
      <c r="E512" s="1" t="n">
        <v>46217</v>
      </c>
      <c r="F512" t="inlineStr">
        <is>
          <t>ÖREBRO LÄN</t>
        </is>
      </c>
      <c r="G512" t="inlineStr">
        <is>
          <t>ASKERSUND</t>
        </is>
      </c>
      <c r="I512" t="n">
        <v>4.4</v>
      </c>
      <c r="J512" t="n">
        <v>0</v>
      </c>
      <c r="K512" t="n">
        <v>0</v>
      </c>
      <c r="L512" t="n">
        <v>0</v>
      </c>
      <c r="M512" t="n">
        <v>0</v>
      </c>
      <c r="N512" t="n">
        <v>0</v>
      </c>
      <c r="O512" t="n">
        <v>0</v>
      </c>
      <c r="P512" t="n">
        <v>0</v>
      </c>
      <c r="Q512" t="n">
        <v>0</v>
      </c>
      <c r="R512" t="n">
        <v>0</v>
      </c>
      <c r="S512" t="n">
        <v>0</v>
      </c>
      <c r="T512" t="n">
        <v>0</v>
      </c>
      <c r="U512" s="2" t="inlineStr"/>
    </row>
    <row r="513" ht="15" customHeight="1">
      <c r="A513" t="inlineStr">
        <is>
          <t>A 30006-2024</t>
        </is>
      </c>
      <c r="B513" t="inlineStr">
        <is>
          <t>avverkningsanmälan</t>
        </is>
      </c>
      <c r="C513" t="inlineStr">
        <is>
          <t>Avverkning för att bevara och utveckla /försöksver</t>
        </is>
      </c>
      <c r="D513" s="1" t="n">
        <v>45485</v>
      </c>
      <c r="E513" s="1" t="n">
        <v>46217</v>
      </c>
      <c r="F513" t="inlineStr">
        <is>
          <t>ÖREBRO LÄN</t>
        </is>
      </c>
      <c r="G513" t="inlineStr">
        <is>
          <t>ASKERSUND</t>
        </is>
      </c>
      <c r="I513" t="n">
        <v>5.1</v>
      </c>
      <c r="J513" t="n">
        <v>0</v>
      </c>
      <c r="K513" t="n">
        <v>0</v>
      </c>
      <c r="L513" t="n">
        <v>0</v>
      </c>
      <c r="M513" t="n">
        <v>0</v>
      </c>
      <c r="N513" t="n">
        <v>0</v>
      </c>
      <c r="O513" t="n">
        <v>0</v>
      </c>
      <c r="P513" t="n">
        <v>0</v>
      </c>
      <c r="Q513" t="n">
        <v>0</v>
      </c>
      <c r="R513" t="n">
        <v>0</v>
      </c>
      <c r="S513" t="n">
        <v>0</v>
      </c>
      <c r="T513" t="n">
        <v>0</v>
      </c>
      <c r="U513" s="2" t="inlineStr"/>
    </row>
    <row r="514" ht="15" customHeight="1">
      <c r="A514" t="inlineStr">
        <is>
          <t>A 32145-2025</t>
        </is>
      </c>
      <c r="B514" t="inlineStr">
        <is>
          <t>avverkningsanmälan</t>
        </is>
      </c>
      <c r="C514" t="inlineStr">
        <is>
          <t>Föryngringsavverkning</t>
        </is>
      </c>
      <c r="D514" s="1" t="n">
        <v>45835</v>
      </c>
      <c r="E514" s="1" t="n">
        <v>46217</v>
      </c>
      <c r="F514" t="inlineStr">
        <is>
          <t>ÖREBRO LÄN</t>
        </is>
      </c>
      <c r="G514" t="inlineStr">
        <is>
          <t>ASKERSUND</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14598-2025</t>
        </is>
      </c>
      <c r="B515" t="inlineStr">
        <is>
          <t>avverkningsanmälan</t>
        </is>
      </c>
      <c r="C515" t="inlineStr">
        <is>
          <t>Föryngringsavverkning</t>
        </is>
      </c>
      <c r="D515" s="1" t="n">
        <v>45742</v>
      </c>
      <c r="E515" s="1" t="n">
        <v>46217</v>
      </c>
      <c r="F515" t="inlineStr">
        <is>
          <t>ÖREBRO LÄN</t>
        </is>
      </c>
      <c r="G515" t="inlineStr">
        <is>
          <t>ASKERSUND</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43958-2024</t>
        </is>
      </c>
      <c r="B516" t="inlineStr">
        <is>
          <t>avverkningsanmälan</t>
        </is>
      </c>
      <c r="C516" t="inlineStr">
        <is>
          <t>Föryngringsavverkning</t>
        </is>
      </c>
      <c r="D516" s="1" t="n">
        <v>45572</v>
      </c>
      <c r="E516" s="1" t="n">
        <v>46217</v>
      </c>
      <c r="F516" t="inlineStr">
        <is>
          <t>ÖREBRO LÄN</t>
        </is>
      </c>
      <c r="G516" t="inlineStr">
        <is>
          <t>ASKERSUND</t>
        </is>
      </c>
      <c r="H516" t="inlineStr">
        <is>
          <t>Sveaskog</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59940-2023</t>
        </is>
      </c>
      <c r="B517" t="inlineStr">
        <is>
          <t>avverkningsanmälan</t>
        </is>
      </c>
      <c r="C517" t="inlineStr">
        <is>
          <t>Föryngringsavverkning</t>
        </is>
      </c>
      <c r="D517" s="1" t="n">
        <v>45257</v>
      </c>
      <c r="E517" s="1" t="n">
        <v>46217</v>
      </c>
      <c r="F517" t="inlineStr">
        <is>
          <t>ÖREBRO LÄN</t>
        </is>
      </c>
      <c r="G517" t="inlineStr">
        <is>
          <t>ASKERSUND</t>
        </is>
      </c>
      <c r="I517" t="n">
        <v>1.3</v>
      </c>
      <c r="J517" t="n">
        <v>0</v>
      </c>
      <c r="K517" t="n">
        <v>0</v>
      </c>
      <c r="L517" t="n">
        <v>0</v>
      </c>
      <c r="M517" t="n">
        <v>0</v>
      </c>
      <c r="N517" t="n">
        <v>0</v>
      </c>
      <c r="O517" t="n">
        <v>0</v>
      </c>
      <c r="P517" t="n">
        <v>0</v>
      </c>
      <c r="Q517" t="n">
        <v>0</v>
      </c>
      <c r="R517" t="n">
        <v>0</v>
      </c>
      <c r="S517" t="n">
        <v>0</v>
      </c>
      <c r="T517" t="n">
        <v>0</v>
      </c>
      <c r="U517" s="2" t="inlineStr"/>
    </row>
    <row r="518" ht="15" customHeight="1">
      <c r="A518" t="inlineStr">
        <is>
          <t>S 1357-2020</t>
        </is>
      </c>
      <c r="B518" t="inlineStr">
        <is>
          <t>samrådsanmälan</t>
        </is>
      </c>
      <c r="C518" t="inlineStr">
        <is>
          <t>Åtgärd i nyckelbiotop</t>
        </is>
      </c>
      <c r="D518" s="1" t="n">
        <v>43993</v>
      </c>
      <c r="E518" s="1" t="n">
        <v>46217</v>
      </c>
      <c r="F518" t="inlineStr">
        <is>
          <t>ÖREBRO LÄN</t>
        </is>
      </c>
      <c r="G518" t="inlineStr">
        <is>
          <t>ASKERSUND</t>
        </is>
      </c>
      <c r="I518" t="n">
        <v>0.3</v>
      </c>
      <c r="J518" t="n">
        <v>0</v>
      </c>
      <c r="K518" t="n">
        <v>0</v>
      </c>
      <c r="L518" t="n">
        <v>0</v>
      </c>
      <c r="M518" t="n">
        <v>0</v>
      </c>
      <c r="N518" t="n">
        <v>0</v>
      </c>
      <c r="O518" t="n">
        <v>0</v>
      </c>
      <c r="P518" t="n">
        <v>0</v>
      </c>
      <c r="Q518" t="n">
        <v>0</v>
      </c>
      <c r="R518" t="n">
        <v>0</v>
      </c>
      <c r="S518" t="n">
        <v>0</v>
      </c>
      <c r="T518" t="n">
        <v>0</v>
      </c>
      <c r="U518" s="2" t="inlineStr"/>
    </row>
    <row r="519">
      <c r="A519" t="inlineStr">
        <is>
          <t>S 1784-2022</t>
        </is>
      </c>
      <c r="B519" t="inlineStr">
        <is>
          <t>samrådsanmälan</t>
        </is>
      </c>
      <c r="C519" t="inlineStr">
        <is>
          <t>Åtgärd i nyckelbiotop</t>
        </is>
      </c>
      <c r="D519" s="1" t="n">
        <v>44655</v>
      </c>
      <c r="E519" s="1" t="n">
        <v>46217</v>
      </c>
      <c r="F519" t="inlineStr">
        <is>
          <t>ÖREBRO LÄN</t>
        </is>
      </c>
      <c r="G519" t="inlineStr">
        <is>
          <t>ASKERSUND</t>
        </is>
      </c>
      <c r="H519" t="inlineStr">
        <is>
          <t>Sveaskog</t>
        </is>
      </c>
      <c r="I519" t="n">
        <v>1.4</v>
      </c>
      <c r="J519" t="n">
        <v>0</v>
      </c>
      <c r="K519" t="n">
        <v>0</v>
      </c>
      <c r="L519" t="n">
        <v>0</v>
      </c>
      <c r="M519" t="n">
        <v>0</v>
      </c>
      <c r="N519" t="n">
        <v>0</v>
      </c>
      <c r="O519" t="n">
        <v>0</v>
      </c>
      <c r="P519" t="n">
        <v>0</v>
      </c>
      <c r="Q519" t="n">
        <v>0</v>
      </c>
      <c r="R519" t="n">
        <v>0</v>
      </c>
      <c r="S519" t="n">
        <v>0</v>
      </c>
      <c r="T519" t="n">
        <v>0</v>
      </c>
      <c r="U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2026-07-14T08:59:55Z</dcterms:created>
  <dcterms:modified xmlns:dcterms="http://purl.org/dc/terms/" xmlns:xsi="http://www.w3.org/2001/XMLSchema-instance" xsi:type="dcterms:W3CDTF">2026-07-14T08:59:56Z</dcterms:modified>
</cp:coreProperties>
</file>