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45824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45824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45824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45824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45824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45824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45824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45824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45824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45824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45824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45824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45824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45824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45824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401-2023</t>
        </is>
      </c>
      <c r="B17" s="1" t="n">
        <v>44929</v>
      </c>
      <c r="C17" s="1" t="n">
        <v>45824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Blanksvart spiklav
Vanlig groda
Fläcknycklar
Mattlummer</t>
        </is>
      </c>
      <c r="S17">
        <f>HYPERLINK("https://klasma.github.io/Logging_1882/artfynd/A 401-2023 artfynd.xlsx", "A 401-2023")</f>
        <v/>
      </c>
      <c r="T17">
        <f>HYPERLINK("https://klasma.github.io/Logging_1882/kartor/A 401-2023 karta.png", "A 401-2023")</f>
        <v/>
      </c>
      <c r="V17">
        <f>HYPERLINK("https://klasma.github.io/Logging_1882/klagomål/A 401-2023 FSC-klagomål.docx", "A 401-2023")</f>
        <v/>
      </c>
      <c r="W17">
        <f>HYPERLINK("https://klasma.github.io/Logging_1882/klagomålsmail/A 401-2023 FSC-klagomål mail.docx", "A 401-2023")</f>
        <v/>
      </c>
      <c r="X17">
        <f>HYPERLINK("https://klasma.github.io/Logging_1882/tillsyn/A 401-2023 tillsynsbegäran.docx", "A 401-2023")</f>
        <v/>
      </c>
      <c r="Y17">
        <f>HYPERLINK("https://klasma.github.io/Logging_1882/tillsynsmail/A 401-2023 tillsynsbegäran mail.docx", "A 401-2023")</f>
        <v/>
      </c>
    </row>
    <row r="18" ht="15" customHeight="1">
      <c r="A18" t="inlineStr">
        <is>
          <t>A 54592-2023</t>
        </is>
      </c>
      <c r="B18" s="1" t="n">
        <v>45228</v>
      </c>
      <c r="C18" s="1" t="n">
        <v>45824</v>
      </c>
      <c r="D18" t="inlineStr">
        <is>
          <t>ÖREBRO LÄN</t>
        </is>
      </c>
      <c r="E18" t="inlineStr">
        <is>
          <t>ASKERSUND</t>
        </is>
      </c>
      <c r="G18" t="n">
        <v>4.6</v>
      </c>
      <c r="H18" t="n">
        <v>1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Ask
Spillkråka
Svinrot
Vårstarr</t>
        </is>
      </c>
      <c r="S18">
        <f>HYPERLINK("https://klasma.github.io/Logging_1882/artfynd/A 54592-2023 artfynd.xlsx", "A 54592-2023")</f>
        <v/>
      </c>
      <c r="T18">
        <f>HYPERLINK("https://klasma.github.io/Logging_1882/kartor/A 54592-2023 karta.png", "A 54592-2023")</f>
        <v/>
      </c>
      <c r="V18">
        <f>HYPERLINK("https://klasma.github.io/Logging_1882/klagomål/A 54592-2023 FSC-klagomål.docx", "A 54592-2023")</f>
        <v/>
      </c>
      <c r="W18">
        <f>HYPERLINK("https://klasma.github.io/Logging_1882/klagomålsmail/A 54592-2023 FSC-klagomål mail.docx", "A 54592-2023")</f>
        <v/>
      </c>
      <c r="X18">
        <f>HYPERLINK("https://klasma.github.io/Logging_1882/tillsyn/A 54592-2023 tillsynsbegäran.docx", "A 54592-2023")</f>
        <v/>
      </c>
      <c r="Y18">
        <f>HYPERLINK("https://klasma.github.io/Logging_1882/tillsynsmail/A 54592-2023 tillsynsbegäran mail.docx", "A 54592-2023")</f>
        <v/>
      </c>
      <c r="Z18">
        <f>HYPERLINK("https://klasma.github.io/Logging_1882/fåglar/A 54592-2023 prioriterade fågelarter.docx", "A 54592-2023")</f>
        <v/>
      </c>
    </row>
    <row r="19" ht="15" customHeight="1">
      <c r="A19" t="inlineStr">
        <is>
          <t>A 7751-2024</t>
        </is>
      </c>
      <c r="B19" s="1" t="n">
        <v>45349</v>
      </c>
      <c r="C19" s="1" t="n">
        <v>45824</v>
      </c>
      <c r="D19" t="inlineStr">
        <is>
          <t>ÖREBRO LÄN</t>
        </is>
      </c>
      <c r="E19" t="inlineStr">
        <is>
          <t>ASKERSUND</t>
        </is>
      </c>
      <c r="G19" t="n">
        <v>12.4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Slåtterfibbla
Svinrot
Fläcknycklar
Nattviol</t>
        </is>
      </c>
      <c r="S19">
        <f>HYPERLINK("https://klasma.github.io/Logging_1882/artfynd/A 7751-2024 artfynd.xlsx", "A 7751-2024")</f>
        <v/>
      </c>
      <c r="T19">
        <f>HYPERLINK("https://klasma.github.io/Logging_1882/kartor/A 7751-2024 karta.png", "A 7751-2024")</f>
        <v/>
      </c>
      <c r="V19">
        <f>HYPERLINK("https://klasma.github.io/Logging_1882/klagomål/A 7751-2024 FSC-klagomål.docx", "A 7751-2024")</f>
        <v/>
      </c>
      <c r="W19">
        <f>HYPERLINK("https://klasma.github.io/Logging_1882/klagomålsmail/A 7751-2024 FSC-klagomål mail.docx", "A 7751-2024")</f>
        <v/>
      </c>
      <c r="X19">
        <f>HYPERLINK("https://klasma.github.io/Logging_1882/tillsyn/A 7751-2024 tillsynsbegäran.docx", "A 7751-2024")</f>
        <v/>
      </c>
      <c r="Y19">
        <f>HYPERLINK("https://klasma.github.io/Logging_1882/tillsynsmail/A 7751-2024 tillsynsbegäran mail.docx", "A 7751-2024")</f>
        <v/>
      </c>
    </row>
    <row r="20" ht="15" customHeight="1">
      <c r="A20" t="inlineStr">
        <is>
          <t>A 2441-2025</t>
        </is>
      </c>
      <c r="B20" s="1" t="n">
        <v>45674</v>
      </c>
      <c r="C20" s="1" t="n">
        <v>45824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Solvända
Svart trolldruva
Grönvit nattviol
Blåsippa</t>
        </is>
      </c>
      <c r="S20">
        <f>HYPERLINK("https://klasma.github.io/Logging_1882/artfynd/A 2441-2025 artfynd.xlsx", "A 2441-2025")</f>
        <v/>
      </c>
      <c r="T20">
        <f>HYPERLINK("https://klasma.github.io/Logging_1882/kartor/A 2441-2025 karta.png", "A 2441-2025")</f>
        <v/>
      </c>
      <c r="V20">
        <f>HYPERLINK("https://klasma.github.io/Logging_1882/klagomål/A 2441-2025 FSC-klagomål.docx", "A 2441-2025")</f>
        <v/>
      </c>
      <c r="W20">
        <f>HYPERLINK("https://klasma.github.io/Logging_1882/klagomålsmail/A 2441-2025 FSC-klagomål mail.docx", "A 2441-2025")</f>
        <v/>
      </c>
      <c r="X20">
        <f>HYPERLINK("https://klasma.github.io/Logging_1882/tillsyn/A 2441-2025 tillsynsbegäran.docx", "A 2441-2025")</f>
        <v/>
      </c>
      <c r="Y20">
        <f>HYPERLINK("https://klasma.github.io/Logging_1882/tillsynsmail/A 2441-2025 tillsynsbegäran mail.docx", "A 2441-2025")</f>
        <v/>
      </c>
    </row>
    <row r="21" ht="15" customHeight="1">
      <c r="A21" t="inlineStr">
        <is>
          <t>A 13462-2020</t>
        </is>
      </c>
      <c r="B21" s="1" t="n">
        <v>43902</v>
      </c>
      <c r="C21" s="1" t="n">
        <v>45824</v>
      </c>
      <c r="D21" t="inlineStr">
        <is>
          <t>ÖREBRO LÄN</t>
        </is>
      </c>
      <c r="E21" t="inlineStr">
        <is>
          <t>ASKERSUND</t>
        </is>
      </c>
      <c r="G21" t="n">
        <v>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Tretåig hackspett
Revlummer</t>
        </is>
      </c>
      <c r="S21">
        <f>HYPERLINK("https://klasma.github.io/Logging_1882/artfynd/A 13462-2020 artfynd.xlsx", "A 13462-2020")</f>
        <v/>
      </c>
      <c r="T21">
        <f>HYPERLINK("https://klasma.github.io/Logging_1882/kartor/A 13462-2020 karta.png", "A 13462-2020")</f>
        <v/>
      </c>
      <c r="V21">
        <f>HYPERLINK("https://klasma.github.io/Logging_1882/klagomål/A 13462-2020 FSC-klagomål.docx", "A 13462-2020")</f>
        <v/>
      </c>
      <c r="W21">
        <f>HYPERLINK("https://klasma.github.io/Logging_1882/klagomålsmail/A 13462-2020 FSC-klagomål mail.docx", "A 13462-2020")</f>
        <v/>
      </c>
      <c r="X21">
        <f>HYPERLINK("https://klasma.github.io/Logging_1882/tillsyn/A 13462-2020 tillsynsbegäran.docx", "A 13462-2020")</f>
        <v/>
      </c>
      <c r="Y21">
        <f>HYPERLINK("https://klasma.github.io/Logging_1882/tillsynsmail/A 13462-2020 tillsynsbegäran mail.docx", "A 13462-2020")</f>
        <v/>
      </c>
      <c r="Z21">
        <f>HYPERLINK("https://klasma.github.io/Logging_1882/fåglar/A 13462-2020 prioriterade fågelarter.docx", "A 13462-2020")</f>
        <v/>
      </c>
    </row>
    <row r="22" ht="15" customHeight="1">
      <c r="A22" t="inlineStr">
        <is>
          <t>A 41840-2020</t>
        </is>
      </c>
      <c r="B22" s="1" t="n">
        <v>44074</v>
      </c>
      <c r="C22" s="1" t="n">
        <v>45824</v>
      </c>
      <c r="D22" t="inlineStr">
        <is>
          <t>ÖREBRO LÄN</t>
        </is>
      </c>
      <c r="E22" t="inlineStr">
        <is>
          <t>ASKERSUND</t>
        </is>
      </c>
      <c r="G22" t="n">
        <v>4.9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Thomsons trägnagare
Västlig hakmossa
Blåsippa</t>
        </is>
      </c>
      <c r="S22">
        <f>HYPERLINK("https://klasma.github.io/Logging_1882/artfynd/A 41840-2020 artfynd.xlsx", "A 41840-2020")</f>
        <v/>
      </c>
      <c r="T22">
        <f>HYPERLINK("https://klasma.github.io/Logging_1882/kartor/A 41840-2020 karta.png", "A 41840-2020")</f>
        <v/>
      </c>
      <c r="V22">
        <f>HYPERLINK("https://klasma.github.io/Logging_1882/klagomål/A 41840-2020 FSC-klagomål.docx", "A 41840-2020")</f>
        <v/>
      </c>
      <c r="W22">
        <f>HYPERLINK("https://klasma.github.io/Logging_1882/klagomålsmail/A 41840-2020 FSC-klagomål mail.docx", "A 41840-2020")</f>
        <v/>
      </c>
      <c r="X22">
        <f>HYPERLINK("https://klasma.github.io/Logging_1882/tillsyn/A 41840-2020 tillsynsbegäran.docx", "A 41840-2020")</f>
        <v/>
      </c>
      <c r="Y22">
        <f>HYPERLINK("https://klasma.github.io/Logging_1882/tillsynsmail/A 41840-2020 tillsynsbegäran mail.docx", "A 41840-2020")</f>
        <v/>
      </c>
    </row>
    <row r="23" ht="15" customHeight="1">
      <c r="A23" t="inlineStr">
        <is>
          <t>A 60537-2020</t>
        </is>
      </c>
      <c r="B23" s="1" t="n">
        <v>44153</v>
      </c>
      <c r="C23" s="1" t="n">
        <v>45824</v>
      </c>
      <c r="D23" t="inlineStr">
        <is>
          <t>ÖREBRO LÄN</t>
        </is>
      </c>
      <c r="E23" t="inlineStr">
        <is>
          <t>ASKERSUND</t>
        </is>
      </c>
      <c r="G23" t="n">
        <v>8.699999999999999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Gropticka
Spillkråka
Talltita</t>
        </is>
      </c>
      <c r="S23">
        <f>HYPERLINK("https://klasma.github.io/Logging_1882/artfynd/A 60537-2020 artfynd.xlsx", "A 60537-2020")</f>
        <v/>
      </c>
      <c r="T23">
        <f>HYPERLINK("https://klasma.github.io/Logging_1882/kartor/A 60537-2020 karta.png", "A 60537-2020")</f>
        <v/>
      </c>
      <c r="V23">
        <f>HYPERLINK("https://klasma.github.io/Logging_1882/klagomål/A 60537-2020 FSC-klagomål.docx", "A 60537-2020")</f>
        <v/>
      </c>
      <c r="W23">
        <f>HYPERLINK("https://klasma.github.io/Logging_1882/klagomålsmail/A 60537-2020 FSC-klagomål mail.docx", "A 60537-2020")</f>
        <v/>
      </c>
      <c r="X23">
        <f>HYPERLINK("https://klasma.github.io/Logging_1882/tillsyn/A 60537-2020 tillsynsbegäran.docx", "A 60537-2020")</f>
        <v/>
      </c>
      <c r="Y23">
        <f>HYPERLINK("https://klasma.github.io/Logging_1882/tillsynsmail/A 60537-2020 tillsynsbegäran mail.docx", "A 60537-2020")</f>
        <v/>
      </c>
      <c r="Z23">
        <f>HYPERLINK("https://klasma.github.io/Logging_1882/fåglar/A 60537-2020 prioriterade fågelarter.docx", "A 60537-2020")</f>
        <v/>
      </c>
    </row>
    <row r="24" ht="15" customHeight="1">
      <c r="A24" t="inlineStr">
        <is>
          <t>A 17866-2021</t>
        </is>
      </c>
      <c r="B24" s="1" t="n">
        <v>44300</v>
      </c>
      <c r="C24" s="1" t="n">
        <v>45824</v>
      </c>
      <c r="D24" t="inlineStr">
        <is>
          <t>ÖREBRO LÄN</t>
        </is>
      </c>
      <c r="E24" t="inlineStr">
        <is>
          <t>ASKERSUND</t>
        </is>
      </c>
      <c r="G24" t="n">
        <v>2.5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17866-2021 artfynd.xlsx", "A 17866-2021")</f>
        <v/>
      </c>
      <c r="T24">
        <f>HYPERLINK("https://klasma.github.io/Logging_1882/kartor/A 17866-2021 karta.png", "A 17866-2021")</f>
        <v/>
      </c>
      <c r="V24">
        <f>HYPERLINK("https://klasma.github.io/Logging_1882/klagomål/A 17866-2021 FSC-klagomål.docx", "A 17866-2021")</f>
        <v/>
      </c>
      <c r="W24">
        <f>HYPERLINK("https://klasma.github.io/Logging_1882/klagomålsmail/A 17866-2021 FSC-klagomål mail.docx", "A 17866-2021")</f>
        <v/>
      </c>
      <c r="X24">
        <f>HYPERLINK("https://klasma.github.io/Logging_1882/tillsyn/A 17866-2021 tillsynsbegäran.docx", "A 17866-2021")</f>
        <v/>
      </c>
      <c r="Y24">
        <f>HYPERLINK("https://klasma.github.io/Logging_1882/tillsynsmail/A 17866-2021 tillsynsbegäran mail.docx", "A 17866-2021")</f>
        <v/>
      </c>
    </row>
    <row r="25" ht="15" customHeight="1">
      <c r="A25" t="inlineStr">
        <is>
          <t>A 32709-2021</t>
        </is>
      </c>
      <c r="B25" s="1" t="n">
        <v>44375</v>
      </c>
      <c r="C25" s="1" t="n">
        <v>45824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Skogsklocka
Vätteros
Blåsippa</t>
        </is>
      </c>
      <c r="S25">
        <f>HYPERLINK("https://klasma.github.io/Logging_1882/artfynd/A 32709-2021 artfynd.xlsx", "A 32709-2021")</f>
        <v/>
      </c>
      <c r="T25">
        <f>HYPERLINK("https://klasma.github.io/Logging_1882/kartor/A 32709-2021 karta.png", "A 32709-2021")</f>
        <v/>
      </c>
      <c r="V25">
        <f>HYPERLINK("https://klasma.github.io/Logging_1882/klagomål/A 32709-2021 FSC-klagomål.docx", "A 32709-2021")</f>
        <v/>
      </c>
      <c r="W25">
        <f>HYPERLINK("https://klasma.github.io/Logging_1882/klagomålsmail/A 32709-2021 FSC-klagomål mail.docx", "A 32709-2021")</f>
        <v/>
      </c>
      <c r="X25">
        <f>HYPERLINK("https://klasma.github.io/Logging_1882/tillsyn/A 32709-2021 tillsynsbegäran.docx", "A 32709-2021")</f>
        <v/>
      </c>
      <c r="Y25">
        <f>HYPERLINK("https://klasma.github.io/Logging_1882/tillsynsmail/A 32709-2021 tillsynsbegäran mail.docx", "A 32709-2021")</f>
        <v/>
      </c>
    </row>
    <row r="26" ht="15" customHeight="1">
      <c r="A26" t="inlineStr">
        <is>
          <t>A 55028-2021</t>
        </is>
      </c>
      <c r="B26" s="1" t="n">
        <v>44474</v>
      </c>
      <c r="C26" s="1" t="n">
        <v>45824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Slåtterfibbla
Svinrot
Svart trolldruva</t>
        </is>
      </c>
      <c r="S26">
        <f>HYPERLINK("https://klasma.github.io/Logging_1882/artfynd/A 55028-2021 artfynd.xlsx", "A 55028-2021")</f>
        <v/>
      </c>
      <c r="T26">
        <f>HYPERLINK("https://klasma.github.io/Logging_1882/kartor/A 55028-2021 karta.png", "A 55028-2021")</f>
        <v/>
      </c>
      <c r="V26">
        <f>HYPERLINK("https://klasma.github.io/Logging_1882/klagomål/A 55028-2021 FSC-klagomål.docx", "A 55028-2021")</f>
        <v/>
      </c>
      <c r="W26">
        <f>HYPERLINK("https://klasma.github.io/Logging_1882/klagomålsmail/A 55028-2021 FSC-klagomål mail.docx", "A 55028-2021")</f>
        <v/>
      </c>
      <c r="X26">
        <f>HYPERLINK("https://klasma.github.io/Logging_1882/tillsyn/A 55028-2021 tillsynsbegäran.docx", "A 55028-2021")</f>
        <v/>
      </c>
      <c r="Y26">
        <f>HYPERLINK("https://klasma.github.io/Logging_1882/tillsynsmail/A 55028-2021 tillsynsbegäran mail.docx", "A 55028-2021")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45824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45824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2291-2023</t>
        </is>
      </c>
      <c r="B29" s="1" t="n">
        <v>44942</v>
      </c>
      <c r="C29" s="1" t="n">
        <v>45824</v>
      </c>
      <c r="D29" t="inlineStr">
        <is>
          <t>ÖREBRO LÄN</t>
        </is>
      </c>
      <c r="E29" t="inlineStr">
        <is>
          <t>ASKERSUND</t>
        </is>
      </c>
      <c r="G29" t="n">
        <v>0.7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Underviol</t>
        </is>
      </c>
      <c r="S29">
        <f>HYPERLINK("https://klasma.github.io/Logging_1882/artfynd/A 2291-2023 artfynd.xlsx", "A 2291-2023")</f>
        <v/>
      </c>
      <c r="T29">
        <f>HYPERLINK("https://klasma.github.io/Logging_1882/kartor/A 2291-2023 karta.png", "A 2291-2023")</f>
        <v/>
      </c>
      <c r="V29">
        <f>HYPERLINK("https://klasma.github.io/Logging_1882/klagomål/A 2291-2023 FSC-klagomål.docx", "A 2291-2023")</f>
        <v/>
      </c>
      <c r="W29">
        <f>HYPERLINK("https://klasma.github.io/Logging_1882/klagomålsmail/A 2291-2023 FSC-klagomål mail.docx", "A 2291-2023")</f>
        <v/>
      </c>
      <c r="X29">
        <f>HYPERLINK("https://klasma.github.io/Logging_1882/tillsyn/A 2291-2023 tillsynsbegäran.docx", "A 2291-2023")</f>
        <v/>
      </c>
      <c r="Y29">
        <f>HYPERLINK("https://klasma.github.io/Logging_1882/tillsynsmail/A 2291-2023 tillsynsbegäran mail.docx", "A 2291-2023")</f>
        <v/>
      </c>
    </row>
    <row r="30" ht="15" customHeight="1">
      <c r="A30" t="inlineStr">
        <is>
          <t>A 11504-2023</t>
        </is>
      </c>
      <c r="B30" s="1" t="n">
        <v>44993</v>
      </c>
      <c r="C30" s="1" t="n">
        <v>45824</v>
      </c>
      <c r="D30" t="inlineStr">
        <is>
          <t>ÖREBRO LÄN</t>
        </is>
      </c>
      <c r="E30" t="inlineStr">
        <is>
          <t>ASKERSUND</t>
        </is>
      </c>
      <c r="G30" t="n">
        <v>11.3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Vågbandad barkbock</t>
        </is>
      </c>
      <c r="S30">
        <f>HYPERLINK("https://klasma.github.io/Logging_1882/artfynd/A 11504-2023 artfynd.xlsx", "A 11504-2023")</f>
        <v/>
      </c>
      <c r="T30">
        <f>HYPERLINK("https://klasma.github.io/Logging_1882/kartor/A 11504-2023 karta.png", "A 11504-2023")</f>
        <v/>
      </c>
      <c r="V30">
        <f>HYPERLINK("https://klasma.github.io/Logging_1882/klagomål/A 11504-2023 FSC-klagomål.docx", "A 11504-2023")</f>
        <v/>
      </c>
      <c r="W30">
        <f>HYPERLINK("https://klasma.github.io/Logging_1882/klagomålsmail/A 11504-2023 FSC-klagomål mail.docx", "A 11504-2023")</f>
        <v/>
      </c>
      <c r="X30">
        <f>HYPERLINK("https://klasma.github.io/Logging_1882/tillsyn/A 11504-2023 tillsynsbegäran.docx", "A 11504-2023")</f>
        <v/>
      </c>
      <c r="Y30">
        <f>HYPERLINK("https://klasma.github.io/Logging_1882/tillsynsmail/A 11504-2023 tillsynsbegäran mail.docx", "A 11504-2023")</f>
        <v/>
      </c>
    </row>
    <row r="31" ht="15" customHeight="1">
      <c r="A31" t="inlineStr">
        <is>
          <t>A 30410-2023</t>
        </is>
      </c>
      <c r="B31" s="1" t="n">
        <v>45111</v>
      </c>
      <c r="C31" s="1" t="n">
        <v>45824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Slåtterfibbla
Blåsippa</t>
        </is>
      </c>
      <c r="S31">
        <f>HYPERLINK("https://klasma.github.io/Logging_1882/artfynd/A 30410-2023 artfynd.xlsx", "A 30410-2023")</f>
        <v/>
      </c>
      <c r="T31">
        <f>HYPERLINK("https://klasma.github.io/Logging_1882/kartor/A 30410-2023 karta.png", "A 30410-2023")</f>
        <v/>
      </c>
      <c r="V31">
        <f>HYPERLINK("https://klasma.github.io/Logging_1882/klagomål/A 30410-2023 FSC-klagomål.docx", "A 30410-2023")</f>
        <v/>
      </c>
      <c r="W31">
        <f>HYPERLINK("https://klasma.github.io/Logging_1882/klagomålsmail/A 30410-2023 FSC-klagomål mail.docx", "A 30410-2023")</f>
        <v/>
      </c>
      <c r="X31">
        <f>HYPERLINK("https://klasma.github.io/Logging_1882/tillsyn/A 30410-2023 tillsynsbegäran.docx", "A 30410-2023")</f>
        <v/>
      </c>
      <c r="Y31">
        <f>HYPERLINK("https://klasma.github.io/Logging_1882/tillsynsmail/A 30410-2023 tillsynsbegäran mail.docx", "A 30410-2023")</f>
        <v/>
      </c>
    </row>
    <row r="32" ht="15" customHeight="1">
      <c r="A32" t="inlineStr">
        <is>
          <t>A 49813-2023</t>
        </is>
      </c>
      <c r="B32" s="1" t="n">
        <v>45212</v>
      </c>
      <c r="C32" s="1" t="n">
        <v>45824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Björksplintborre
Mattlummer</t>
        </is>
      </c>
      <c r="S32">
        <f>HYPERLINK("https://klasma.github.io/Logging_1882/artfynd/A 49813-2023 artfynd.xlsx", "A 49813-2023")</f>
        <v/>
      </c>
      <c r="T32">
        <f>HYPERLINK("https://klasma.github.io/Logging_1882/kartor/A 49813-2023 karta.png", "A 49813-2023")</f>
        <v/>
      </c>
      <c r="V32">
        <f>HYPERLINK("https://klasma.github.io/Logging_1882/klagomål/A 49813-2023 FSC-klagomål.docx", "A 49813-2023")</f>
        <v/>
      </c>
      <c r="W32">
        <f>HYPERLINK("https://klasma.github.io/Logging_1882/klagomålsmail/A 49813-2023 FSC-klagomål mail.docx", "A 49813-2023")</f>
        <v/>
      </c>
      <c r="X32">
        <f>HYPERLINK("https://klasma.github.io/Logging_1882/tillsyn/A 49813-2023 tillsynsbegäran.docx", "A 49813-2023")</f>
        <v/>
      </c>
      <c r="Y32">
        <f>HYPERLINK("https://klasma.github.io/Logging_1882/tillsynsmail/A 49813-2023 tillsynsbegäran mail.docx", "A 49813-2023")</f>
        <v/>
      </c>
    </row>
    <row r="33" ht="15" customHeight="1">
      <c r="A33" t="inlineStr">
        <is>
          <t>A 44883-2024</t>
        </is>
      </c>
      <c r="B33" s="1" t="n">
        <v>45575</v>
      </c>
      <c r="C33" s="1" t="n">
        <v>45824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Svinrot
Svart trolldruva
Gullviva</t>
        </is>
      </c>
      <c r="S33">
        <f>HYPERLINK("https://klasma.github.io/Logging_1882/artfynd/A 44883-2024 artfynd.xlsx", "A 44883-2024")</f>
        <v/>
      </c>
      <c r="T33">
        <f>HYPERLINK("https://klasma.github.io/Logging_1882/kartor/A 44883-2024 karta.png", "A 44883-2024")</f>
        <v/>
      </c>
      <c r="V33">
        <f>HYPERLINK("https://klasma.github.io/Logging_1882/klagomål/A 44883-2024 FSC-klagomål.docx", "A 44883-2024")</f>
        <v/>
      </c>
      <c r="W33">
        <f>HYPERLINK("https://klasma.github.io/Logging_1882/klagomålsmail/A 44883-2024 FSC-klagomål mail.docx", "A 44883-2024")</f>
        <v/>
      </c>
      <c r="X33">
        <f>HYPERLINK("https://klasma.github.io/Logging_1882/tillsyn/A 44883-2024 tillsynsbegäran.docx", "A 44883-2024")</f>
        <v/>
      </c>
      <c r="Y33">
        <f>HYPERLINK("https://klasma.github.io/Logging_1882/tillsynsmail/A 44883-2024 tillsynsbegäran mail.docx", "A 44883-2024")</f>
        <v/>
      </c>
    </row>
    <row r="34" ht="15" customHeight="1">
      <c r="A34" t="inlineStr">
        <is>
          <t>A 3731-2025</t>
        </is>
      </c>
      <c r="B34" s="1" t="n">
        <v>45681</v>
      </c>
      <c r="C34" s="1" t="n">
        <v>45824</v>
      </c>
      <c r="D34" t="inlineStr">
        <is>
          <t>ÖREBRO LÄN</t>
        </is>
      </c>
      <c r="E34" t="inlineStr">
        <is>
          <t>ASKERSUND</t>
        </is>
      </c>
      <c r="G34" t="n">
        <v>1.5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Slåttergubbe
Slåtterfibbla
Svinrot</t>
        </is>
      </c>
      <c r="S34">
        <f>HYPERLINK("https://klasma.github.io/Logging_1882/artfynd/A 3731-2025 artfynd.xlsx", "A 3731-2025")</f>
        <v/>
      </c>
      <c r="T34">
        <f>HYPERLINK("https://klasma.github.io/Logging_1882/kartor/A 3731-2025 karta.png", "A 3731-2025")</f>
        <v/>
      </c>
      <c r="V34">
        <f>HYPERLINK("https://klasma.github.io/Logging_1882/klagomål/A 3731-2025 FSC-klagomål.docx", "A 3731-2025")</f>
        <v/>
      </c>
      <c r="W34">
        <f>HYPERLINK("https://klasma.github.io/Logging_1882/klagomålsmail/A 3731-2025 FSC-klagomål mail.docx", "A 3731-2025")</f>
        <v/>
      </c>
      <c r="X34">
        <f>HYPERLINK("https://klasma.github.io/Logging_1882/tillsyn/A 3731-2025 tillsynsbegäran.docx", "A 3731-2025")</f>
        <v/>
      </c>
      <c r="Y34">
        <f>HYPERLINK("https://klasma.github.io/Logging_1882/tillsynsmail/A 3731-2025 tillsynsbegäran mail.docx", "A 3731-2025")</f>
        <v/>
      </c>
    </row>
    <row r="35" ht="15" customHeight="1">
      <c r="A35" t="inlineStr">
        <is>
          <t>A 17635-2019</t>
        </is>
      </c>
      <c r="B35" s="1" t="n">
        <v>43556</v>
      </c>
      <c r="C35" s="1" t="n">
        <v>45824</v>
      </c>
      <c r="D35" t="inlineStr">
        <is>
          <t>ÖREBRO LÄN</t>
        </is>
      </c>
      <c r="E35" t="inlineStr">
        <is>
          <t>ASKERSUND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Vedticka
Blåsippa</t>
        </is>
      </c>
      <c r="S35">
        <f>HYPERLINK("https://klasma.github.io/Logging_1882/artfynd/A 17635-2019 artfynd.xlsx", "A 17635-2019")</f>
        <v/>
      </c>
      <c r="T35">
        <f>HYPERLINK("https://klasma.github.io/Logging_1882/kartor/A 17635-2019 karta.png", "A 17635-2019")</f>
        <v/>
      </c>
      <c r="V35">
        <f>HYPERLINK("https://klasma.github.io/Logging_1882/klagomål/A 17635-2019 FSC-klagomål.docx", "A 17635-2019")</f>
        <v/>
      </c>
      <c r="W35">
        <f>HYPERLINK("https://klasma.github.io/Logging_1882/klagomålsmail/A 17635-2019 FSC-klagomål mail.docx", "A 17635-2019")</f>
        <v/>
      </c>
      <c r="X35">
        <f>HYPERLINK("https://klasma.github.io/Logging_1882/tillsyn/A 17635-2019 tillsynsbegäran.docx", "A 17635-2019")</f>
        <v/>
      </c>
      <c r="Y35">
        <f>HYPERLINK("https://klasma.github.io/Logging_1882/tillsynsmail/A 17635-2019 tillsynsbegäran mail.docx", "A 17635-2019")</f>
        <v/>
      </c>
    </row>
    <row r="36" ht="15" customHeight="1">
      <c r="A36" t="inlineStr">
        <is>
          <t>A 58590-2019</t>
        </is>
      </c>
      <c r="B36" s="1" t="n">
        <v>43773</v>
      </c>
      <c r="C36" s="1" t="n">
        <v>45824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58590-2019 artfynd.xlsx", "A 58590-2019")</f>
        <v/>
      </c>
      <c r="T36">
        <f>HYPERLINK("https://klasma.github.io/Logging_1882/kartor/A 58590-2019 karta.png", "A 58590-2019")</f>
        <v/>
      </c>
      <c r="V36">
        <f>HYPERLINK("https://klasma.github.io/Logging_1882/klagomål/A 58590-2019 FSC-klagomål.docx", "A 58590-2019")</f>
        <v/>
      </c>
      <c r="W36">
        <f>HYPERLINK("https://klasma.github.io/Logging_1882/klagomålsmail/A 58590-2019 FSC-klagomål mail.docx", "A 58590-2019")</f>
        <v/>
      </c>
      <c r="X36">
        <f>HYPERLINK("https://klasma.github.io/Logging_1882/tillsyn/A 58590-2019 tillsynsbegäran.docx", "A 58590-2019")</f>
        <v/>
      </c>
      <c r="Y36">
        <f>HYPERLINK("https://klasma.github.io/Logging_1882/tillsynsmail/A 58590-2019 tillsynsbegäran mail.docx", "A 58590-2019")</f>
        <v/>
      </c>
    </row>
    <row r="37" ht="15" customHeight="1">
      <c r="A37" t="inlineStr">
        <is>
          <t>A 58588-2019</t>
        </is>
      </c>
      <c r="B37" s="1" t="n">
        <v>43773</v>
      </c>
      <c r="C37" s="1" t="n">
        <v>45824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Revlummer</t>
        </is>
      </c>
      <c r="S37">
        <f>HYPERLINK("https://klasma.github.io/Logging_1882/artfynd/A 58588-2019 artfynd.xlsx", "A 58588-2019")</f>
        <v/>
      </c>
      <c r="T37">
        <f>HYPERLINK("https://klasma.github.io/Logging_1882/kartor/A 58588-2019 karta.png", "A 58588-2019")</f>
        <v/>
      </c>
      <c r="V37">
        <f>HYPERLINK("https://klasma.github.io/Logging_1882/klagomål/A 58588-2019 FSC-klagomål.docx", "A 58588-2019")</f>
        <v/>
      </c>
      <c r="W37">
        <f>HYPERLINK("https://klasma.github.io/Logging_1882/klagomålsmail/A 58588-2019 FSC-klagomål mail.docx", "A 58588-2019")</f>
        <v/>
      </c>
      <c r="X37">
        <f>HYPERLINK("https://klasma.github.io/Logging_1882/tillsyn/A 58588-2019 tillsynsbegäran.docx", "A 58588-2019")</f>
        <v/>
      </c>
      <c r="Y37">
        <f>HYPERLINK("https://klasma.github.io/Logging_1882/tillsynsmail/A 58588-2019 tillsynsbegäran mail.docx", "A 58588-2019")</f>
        <v/>
      </c>
    </row>
    <row r="38" ht="15" customHeight="1">
      <c r="A38" t="inlineStr">
        <is>
          <t>A 14369-2020</t>
        </is>
      </c>
      <c r="B38" s="1" t="n">
        <v>43908</v>
      </c>
      <c r="C38" s="1" t="n">
        <v>45824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Vätteros
Blåsippa</t>
        </is>
      </c>
      <c r="S38">
        <f>HYPERLINK("https://klasma.github.io/Logging_1882/artfynd/A 14369-2020 artfynd.xlsx", "A 14369-2020")</f>
        <v/>
      </c>
      <c r="T38">
        <f>HYPERLINK("https://klasma.github.io/Logging_1882/kartor/A 14369-2020 karta.png", "A 14369-2020")</f>
        <v/>
      </c>
      <c r="V38">
        <f>HYPERLINK("https://klasma.github.io/Logging_1882/klagomål/A 14369-2020 FSC-klagomål.docx", "A 14369-2020")</f>
        <v/>
      </c>
      <c r="W38">
        <f>HYPERLINK("https://klasma.github.io/Logging_1882/klagomålsmail/A 14369-2020 FSC-klagomål mail.docx", "A 14369-2020")</f>
        <v/>
      </c>
      <c r="X38">
        <f>HYPERLINK("https://klasma.github.io/Logging_1882/tillsyn/A 14369-2020 tillsynsbegäran.docx", "A 14369-2020")</f>
        <v/>
      </c>
      <c r="Y38">
        <f>HYPERLINK("https://klasma.github.io/Logging_1882/tillsynsmail/A 14369-2020 tillsynsbegäran mail.docx", "A 14369-2020")</f>
        <v/>
      </c>
    </row>
    <row r="39" ht="15" customHeight="1">
      <c r="A39" t="inlineStr">
        <is>
          <t>A 46018-2020</t>
        </is>
      </c>
      <c r="B39" s="1" t="n">
        <v>44088</v>
      </c>
      <c r="C39" s="1" t="n">
        <v>45824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46018-2020 artfynd.xlsx", "A 46018-2020")</f>
        <v/>
      </c>
      <c r="T39">
        <f>HYPERLINK("https://klasma.github.io/Logging_1882/kartor/A 46018-2020 karta.png", "A 46018-2020")</f>
        <v/>
      </c>
      <c r="V39">
        <f>HYPERLINK("https://klasma.github.io/Logging_1882/klagomål/A 46018-2020 FSC-klagomål.docx", "A 46018-2020")</f>
        <v/>
      </c>
      <c r="W39">
        <f>HYPERLINK("https://klasma.github.io/Logging_1882/klagomålsmail/A 46018-2020 FSC-klagomål mail.docx", "A 46018-2020")</f>
        <v/>
      </c>
      <c r="X39">
        <f>HYPERLINK("https://klasma.github.io/Logging_1882/tillsyn/A 46018-2020 tillsynsbegäran.docx", "A 46018-2020")</f>
        <v/>
      </c>
      <c r="Y39">
        <f>HYPERLINK("https://klasma.github.io/Logging_1882/tillsynsmail/A 46018-2020 tillsynsbegäran mail.docx", "A 46018-2020")</f>
        <v/>
      </c>
    </row>
    <row r="40" ht="15" customHeight="1">
      <c r="A40" t="inlineStr">
        <is>
          <t>A 46100-2020</t>
        </is>
      </c>
      <c r="B40" s="1" t="n">
        <v>44088</v>
      </c>
      <c r="C40" s="1" t="n">
        <v>45824</v>
      </c>
      <c r="D40" t="inlineStr">
        <is>
          <t>ÖREBRO LÄN</t>
        </is>
      </c>
      <c r="E40" t="inlineStr">
        <is>
          <t>ASKERSUND</t>
        </is>
      </c>
      <c r="F40" t="inlineStr">
        <is>
          <t>Övriga Aktiebolag</t>
        </is>
      </c>
      <c r="G40" t="n">
        <v>2.2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HYPERLINK("https://klasma.github.io/Logging_1882/artfynd/A 46100-2020 artfynd.xlsx", "A 46100-2020")</f>
        <v/>
      </c>
      <c r="T40">
        <f>HYPERLINK("https://klasma.github.io/Logging_1882/kartor/A 46100-2020 karta.png", "A 46100-2020")</f>
        <v/>
      </c>
      <c r="V40">
        <f>HYPERLINK("https://klasma.github.io/Logging_1882/klagomål/A 46100-2020 FSC-klagomål.docx", "A 46100-2020")</f>
        <v/>
      </c>
      <c r="W40">
        <f>HYPERLINK("https://klasma.github.io/Logging_1882/klagomålsmail/A 46100-2020 FSC-klagomål mail.docx", "A 46100-2020")</f>
        <v/>
      </c>
      <c r="X40">
        <f>HYPERLINK("https://klasma.github.io/Logging_1882/tillsyn/A 46100-2020 tillsynsbegäran.docx", "A 46100-2020")</f>
        <v/>
      </c>
      <c r="Y40">
        <f>HYPERLINK("https://klasma.github.io/Logging_1882/tillsynsmail/A 46100-2020 tillsynsbegäran mail.docx", "A 46100-2020")</f>
        <v/>
      </c>
    </row>
    <row r="41" ht="15" customHeight="1">
      <c r="A41" t="inlineStr">
        <is>
          <t>A 69455-2020</t>
        </is>
      </c>
      <c r="B41" s="1" t="n">
        <v>44194</v>
      </c>
      <c r="C41" s="1" t="n">
        <v>45824</v>
      </c>
      <c r="D41" t="inlineStr">
        <is>
          <t>ÖREBRO LÄN</t>
        </is>
      </c>
      <c r="E41" t="inlineStr">
        <is>
          <t>ASKERSUND</t>
        </is>
      </c>
      <c r="G41" t="n">
        <v>4.7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69455-2020 artfynd.xlsx", "A 69455-2020")</f>
        <v/>
      </c>
      <c r="T41">
        <f>HYPERLINK("https://klasma.github.io/Logging_1882/kartor/A 69455-2020 karta.png", "A 69455-2020")</f>
        <v/>
      </c>
      <c r="V41">
        <f>HYPERLINK("https://klasma.github.io/Logging_1882/klagomål/A 69455-2020 FSC-klagomål.docx", "A 69455-2020")</f>
        <v/>
      </c>
      <c r="W41">
        <f>HYPERLINK("https://klasma.github.io/Logging_1882/klagomålsmail/A 69455-2020 FSC-klagomål mail.docx", "A 69455-2020")</f>
        <v/>
      </c>
      <c r="X41">
        <f>HYPERLINK("https://klasma.github.io/Logging_1882/tillsyn/A 69455-2020 tillsynsbegäran.docx", "A 69455-2020")</f>
        <v/>
      </c>
      <c r="Y41">
        <f>HYPERLINK("https://klasma.github.io/Logging_1882/tillsynsmail/A 69455-2020 tillsynsbegäran mail.docx", "A 69455-2020")</f>
        <v/>
      </c>
    </row>
    <row r="42" ht="15" customHeight="1">
      <c r="A42" t="inlineStr">
        <is>
          <t>A 17473-2021</t>
        </is>
      </c>
      <c r="B42" s="1" t="n">
        <v>44299</v>
      </c>
      <c r="C42" s="1" t="n">
        <v>45824</v>
      </c>
      <c r="D42" t="inlineStr">
        <is>
          <t>ÖREBRO LÄN</t>
        </is>
      </c>
      <c r="E42" t="inlineStr">
        <is>
          <t>ASKERSUND</t>
        </is>
      </c>
      <c r="G42" t="n">
        <v>1.1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Skogsklocka
Svinrot</t>
        </is>
      </c>
      <c r="S42">
        <f>HYPERLINK("https://klasma.github.io/Logging_1882/artfynd/A 17473-2021 artfynd.xlsx", "A 17473-2021")</f>
        <v/>
      </c>
      <c r="T42">
        <f>HYPERLINK("https://klasma.github.io/Logging_1882/kartor/A 17473-2021 karta.png", "A 17473-2021")</f>
        <v/>
      </c>
      <c r="V42">
        <f>HYPERLINK("https://klasma.github.io/Logging_1882/klagomål/A 17473-2021 FSC-klagomål.docx", "A 17473-2021")</f>
        <v/>
      </c>
      <c r="W42">
        <f>HYPERLINK("https://klasma.github.io/Logging_1882/klagomålsmail/A 17473-2021 FSC-klagomål mail.docx", "A 17473-2021")</f>
        <v/>
      </c>
      <c r="X42">
        <f>HYPERLINK("https://klasma.github.io/Logging_1882/tillsyn/A 17473-2021 tillsynsbegäran.docx", "A 17473-2021")</f>
        <v/>
      </c>
      <c r="Y42">
        <f>HYPERLINK("https://klasma.github.io/Logging_1882/tillsynsmail/A 17473-2021 tillsynsbegäran mail.docx", "A 17473-2021")</f>
        <v/>
      </c>
    </row>
    <row r="43" ht="15" customHeight="1">
      <c r="A43" t="inlineStr">
        <is>
          <t>A 52268-2021</t>
        </is>
      </c>
      <c r="B43" s="1" t="n">
        <v>44463</v>
      </c>
      <c r="C43" s="1" t="n">
        <v>45824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52268-2021 artfynd.xlsx", "A 52268-2021")</f>
        <v/>
      </c>
      <c r="T43">
        <f>HYPERLINK("https://klasma.github.io/Logging_1882/kartor/A 52268-2021 karta.png", "A 52268-2021")</f>
        <v/>
      </c>
      <c r="V43">
        <f>HYPERLINK("https://klasma.github.io/Logging_1882/klagomål/A 52268-2021 FSC-klagomål.docx", "A 52268-2021")</f>
        <v/>
      </c>
      <c r="W43">
        <f>HYPERLINK("https://klasma.github.io/Logging_1882/klagomålsmail/A 52268-2021 FSC-klagomål mail.docx", "A 52268-2021")</f>
        <v/>
      </c>
      <c r="X43">
        <f>HYPERLINK("https://klasma.github.io/Logging_1882/tillsyn/A 52268-2021 tillsynsbegäran.docx", "A 52268-2021")</f>
        <v/>
      </c>
      <c r="Y43">
        <f>HYPERLINK("https://klasma.github.io/Logging_1882/tillsynsmail/A 52268-2021 tillsynsbegäran mail.docx", "A 52268-2021")</f>
        <v/>
      </c>
    </row>
    <row r="44" ht="15" customHeight="1">
      <c r="A44" t="inlineStr">
        <is>
          <t>A 52264-2021</t>
        </is>
      </c>
      <c r="B44" s="1" t="n">
        <v>44463</v>
      </c>
      <c r="C44" s="1" t="n">
        <v>45824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HYPERLINK("https://klasma.github.io/Logging_1882/artfynd/A 52264-2021 artfynd.xlsx", "A 52264-2021")</f>
        <v/>
      </c>
      <c r="T44">
        <f>HYPERLINK("https://klasma.github.io/Logging_1882/kartor/A 52264-2021 karta.png", "A 52264-2021")</f>
        <v/>
      </c>
      <c r="V44">
        <f>HYPERLINK("https://klasma.github.io/Logging_1882/klagomål/A 52264-2021 FSC-klagomål.docx", "A 52264-2021")</f>
        <v/>
      </c>
      <c r="W44">
        <f>HYPERLINK("https://klasma.github.io/Logging_1882/klagomålsmail/A 52264-2021 FSC-klagomål mail.docx", "A 52264-2021")</f>
        <v/>
      </c>
      <c r="X44">
        <f>HYPERLINK("https://klasma.github.io/Logging_1882/tillsyn/A 52264-2021 tillsynsbegäran.docx", "A 52264-2021")</f>
        <v/>
      </c>
      <c r="Y44">
        <f>HYPERLINK("https://klasma.github.io/Logging_1882/tillsynsmail/A 52264-2021 tillsynsbegäran mail.docx", "A 52264-2021")</f>
        <v/>
      </c>
    </row>
    <row r="45" ht="15" customHeight="1">
      <c r="A45" t="inlineStr">
        <is>
          <t>A 13865-2022</t>
        </is>
      </c>
      <c r="B45" s="1" t="n">
        <v>44649</v>
      </c>
      <c r="C45" s="1" t="n">
        <v>45824</v>
      </c>
      <c r="D45" t="inlineStr">
        <is>
          <t>ÖREBRO LÄN</t>
        </is>
      </c>
      <c r="E45" t="inlineStr">
        <is>
          <t>ASKERSUND</t>
        </is>
      </c>
      <c r="G45" t="n">
        <v>2.5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Grovticka
Mattlummer</t>
        </is>
      </c>
      <c r="S45">
        <f>HYPERLINK("https://klasma.github.io/Logging_1882/artfynd/A 13865-2022 artfynd.xlsx", "A 13865-2022")</f>
        <v/>
      </c>
      <c r="T45">
        <f>HYPERLINK("https://klasma.github.io/Logging_1882/kartor/A 13865-2022 karta.png", "A 13865-2022")</f>
        <v/>
      </c>
      <c r="V45">
        <f>HYPERLINK("https://klasma.github.io/Logging_1882/klagomål/A 13865-2022 FSC-klagomål.docx", "A 13865-2022")</f>
        <v/>
      </c>
      <c r="W45">
        <f>HYPERLINK("https://klasma.github.io/Logging_1882/klagomålsmail/A 13865-2022 FSC-klagomål mail.docx", "A 13865-2022")</f>
        <v/>
      </c>
      <c r="X45">
        <f>HYPERLINK("https://klasma.github.io/Logging_1882/tillsyn/A 13865-2022 tillsynsbegäran.docx", "A 13865-2022")</f>
        <v/>
      </c>
      <c r="Y45">
        <f>HYPERLINK("https://klasma.github.io/Logging_1882/tillsynsmail/A 13865-2022 tillsynsbegäran mail.docx", "A 13865-2022")</f>
        <v/>
      </c>
    </row>
    <row r="46" ht="15" customHeight="1">
      <c r="A46" t="inlineStr">
        <is>
          <t>A 22787-2022</t>
        </is>
      </c>
      <c r="B46" s="1" t="n">
        <v>44714</v>
      </c>
      <c r="C46" s="1" t="n">
        <v>45824</v>
      </c>
      <c r="D46" t="inlineStr">
        <is>
          <t>ÖREBRO LÄN</t>
        </is>
      </c>
      <c r="E46" t="inlineStr">
        <is>
          <t>ASKERSUND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Björksplintborre
Revlummer</t>
        </is>
      </c>
      <c r="S46">
        <f>HYPERLINK("https://klasma.github.io/Logging_1882/artfynd/A 22787-2022 artfynd.xlsx", "A 22787-2022")</f>
        <v/>
      </c>
      <c r="T46">
        <f>HYPERLINK("https://klasma.github.io/Logging_1882/kartor/A 22787-2022 karta.png", "A 22787-2022")</f>
        <v/>
      </c>
      <c r="V46">
        <f>HYPERLINK("https://klasma.github.io/Logging_1882/klagomål/A 22787-2022 FSC-klagomål.docx", "A 22787-2022")</f>
        <v/>
      </c>
      <c r="W46">
        <f>HYPERLINK("https://klasma.github.io/Logging_1882/klagomålsmail/A 22787-2022 FSC-klagomål mail.docx", "A 22787-2022")</f>
        <v/>
      </c>
      <c r="X46">
        <f>HYPERLINK("https://klasma.github.io/Logging_1882/tillsyn/A 22787-2022 tillsynsbegäran.docx", "A 22787-2022")</f>
        <v/>
      </c>
      <c r="Y46">
        <f>HYPERLINK("https://klasma.github.io/Logging_1882/tillsynsmail/A 22787-2022 tillsynsbegäran mail.docx", "A 22787-2022")</f>
        <v/>
      </c>
    </row>
    <row r="47" ht="15" customHeight="1">
      <c r="A47" t="inlineStr">
        <is>
          <t>A 23750-2022</t>
        </is>
      </c>
      <c r="B47" s="1" t="n">
        <v>44722</v>
      </c>
      <c r="C47" s="1" t="n">
        <v>45824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4.3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HYPERLINK("https://klasma.github.io/Logging_1882/artfynd/A 23750-2022 artfynd.xlsx", "A 23750-2022")</f>
        <v/>
      </c>
      <c r="T47">
        <f>HYPERLINK("https://klasma.github.io/Logging_1882/kartor/A 23750-2022 karta.png", "A 23750-2022")</f>
        <v/>
      </c>
      <c r="V47">
        <f>HYPERLINK("https://klasma.github.io/Logging_1882/klagomål/A 23750-2022 FSC-klagomål.docx", "A 23750-2022")</f>
        <v/>
      </c>
      <c r="W47">
        <f>HYPERLINK("https://klasma.github.io/Logging_1882/klagomålsmail/A 23750-2022 FSC-klagomål mail.docx", "A 23750-2022")</f>
        <v/>
      </c>
      <c r="X47">
        <f>HYPERLINK("https://klasma.github.io/Logging_1882/tillsyn/A 23750-2022 tillsynsbegäran.docx", "A 23750-2022")</f>
        <v/>
      </c>
      <c r="Y47">
        <f>HYPERLINK("https://klasma.github.io/Logging_1882/tillsynsmail/A 23750-2022 tillsynsbegäran mail.docx", "A 23750-2022")</f>
        <v/>
      </c>
    </row>
    <row r="48" ht="15" customHeight="1">
      <c r="A48" t="inlineStr">
        <is>
          <t>A 17872-2023</t>
        </is>
      </c>
      <c r="B48" s="1" t="n">
        <v>45038</v>
      </c>
      <c r="C48" s="1" t="n">
        <v>45824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Fläcknycklar</t>
        </is>
      </c>
      <c r="S48">
        <f>HYPERLINK("https://klasma.github.io/Logging_1882/artfynd/A 17872-2023 artfynd.xlsx", "A 17872-2023")</f>
        <v/>
      </c>
      <c r="T48">
        <f>HYPERLINK("https://klasma.github.io/Logging_1882/kartor/A 17872-2023 karta.png", "A 17872-2023")</f>
        <v/>
      </c>
      <c r="V48">
        <f>HYPERLINK("https://klasma.github.io/Logging_1882/klagomål/A 17872-2023 FSC-klagomål.docx", "A 17872-2023")</f>
        <v/>
      </c>
      <c r="W48">
        <f>HYPERLINK("https://klasma.github.io/Logging_1882/klagomålsmail/A 17872-2023 FSC-klagomål mail.docx", "A 17872-2023")</f>
        <v/>
      </c>
      <c r="X48">
        <f>HYPERLINK("https://klasma.github.io/Logging_1882/tillsyn/A 17872-2023 tillsynsbegäran.docx", "A 17872-2023")</f>
        <v/>
      </c>
      <c r="Y48">
        <f>HYPERLINK("https://klasma.github.io/Logging_1882/tillsynsmail/A 17872-2023 tillsynsbegäran mail.docx", "A 17872-2023")</f>
        <v/>
      </c>
    </row>
    <row r="49" ht="15" customHeight="1">
      <c r="A49" t="inlineStr">
        <is>
          <t>A 31967-2023</t>
        </is>
      </c>
      <c r="B49" s="1" t="n">
        <v>45107</v>
      </c>
      <c r="C49" s="1" t="n">
        <v>45824</v>
      </c>
      <c r="D49" t="inlineStr">
        <is>
          <t>ÖREBRO LÄN</t>
        </is>
      </c>
      <c r="E49" t="inlineStr">
        <is>
          <t>ASKERSUND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Blåsfliksmossa
Trubbfjädermossa</t>
        </is>
      </c>
      <c r="S49">
        <f>HYPERLINK("https://klasma.github.io/Logging_1882/artfynd/A 31967-2023 artfynd.xlsx", "A 31967-2023")</f>
        <v/>
      </c>
      <c r="T49">
        <f>HYPERLINK("https://klasma.github.io/Logging_1882/kartor/A 31967-2023 karta.png", "A 31967-2023")</f>
        <v/>
      </c>
      <c r="V49">
        <f>HYPERLINK("https://klasma.github.io/Logging_1882/klagomål/A 31967-2023 FSC-klagomål.docx", "A 31967-2023")</f>
        <v/>
      </c>
      <c r="W49">
        <f>HYPERLINK("https://klasma.github.io/Logging_1882/klagomålsmail/A 31967-2023 FSC-klagomål mail.docx", "A 31967-2023")</f>
        <v/>
      </c>
      <c r="X49">
        <f>HYPERLINK("https://klasma.github.io/Logging_1882/tillsyn/A 31967-2023 tillsynsbegäran.docx", "A 31967-2023")</f>
        <v/>
      </c>
      <c r="Y49">
        <f>HYPERLINK("https://klasma.github.io/Logging_1882/tillsynsmail/A 31967-2023 tillsynsbegäran mail.docx", "A 31967-2023")</f>
        <v/>
      </c>
    </row>
    <row r="50" ht="15" customHeight="1">
      <c r="A50" t="inlineStr">
        <is>
          <t>A 4295-2024</t>
        </is>
      </c>
      <c r="B50" s="1" t="n">
        <v>45324</v>
      </c>
      <c r="C50" s="1" t="n">
        <v>45824</v>
      </c>
      <c r="D50" t="inlineStr">
        <is>
          <t>ÖREBRO LÄN</t>
        </is>
      </c>
      <c r="E50" t="inlineStr">
        <is>
          <t>ASKERSUND</t>
        </is>
      </c>
      <c r="F50" t="inlineStr">
        <is>
          <t>Kyrkan</t>
        </is>
      </c>
      <c r="G50" t="n">
        <v>11.9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Blåsippa</t>
        </is>
      </c>
      <c r="S50">
        <f>HYPERLINK("https://klasma.github.io/Logging_1882/artfynd/A 4295-2024 artfynd.xlsx", "A 4295-2024")</f>
        <v/>
      </c>
      <c r="T50">
        <f>HYPERLINK("https://klasma.github.io/Logging_1882/kartor/A 4295-2024 karta.png", "A 4295-2024")</f>
        <v/>
      </c>
      <c r="V50">
        <f>HYPERLINK("https://klasma.github.io/Logging_1882/klagomål/A 4295-2024 FSC-klagomål.docx", "A 4295-2024")</f>
        <v/>
      </c>
      <c r="W50">
        <f>HYPERLINK("https://klasma.github.io/Logging_1882/klagomålsmail/A 4295-2024 FSC-klagomål mail.docx", "A 4295-2024")</f>
        <v/>
      </c>
      <c r="X50">
        <f>HYPERLINK("https://klasma.github.io/Logging_1882/tillsyn/A 4295-2024 tillsynsbegäran.docx", "A 4295-2024")</f>
        <v/>
      </c>
      <c r="Y50">
        <f>HYPERLINK("https://klasma.github.io/Logging_1882/tillsynsmail/A 4295-2024 tillsynsbegäran mail.docx", "A 4295-2024")</f>
        <v/>
      </c>
    </row>
    <row r="51" ht="15" customHeight="1">
      <c r="A51" t="inlineStr">
        <is>
          <t>A 7535-2024</t>
        </is>
      </c>
      <c r="B51" s="1" t="n">
        <v>45348</v>
      </c>
      <c r="C51" s="1" t="n">
        <v>45824</v>
      </c>
      <c r="D51" t="inlineStr">
        <is>
          <t>ÖREBRO LÄN</t>
        </is>
      </c>
      <c r="E51" t="inlineStr">
        <is>
          <t>ASKERSUND</t>
        </is>
      </c>
      <c r="G51" t="n">
        <v>2.2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Blodvaxing
Blåsippa</t>
        </is>
      </c>
      <c r="S51">
        <f>HYPERLINK("https://klasma.github.io/Logging_1882/artfynd/A 7535-2024 artfynd.xlsx", "A 7535-2024")</f>
        <v/>
      </c>
      <c r="T51">
        <f>HYPERLINK("https://klasma.github.io/Logging_1882/kartor/A 7535-2024 karta.png", "A 7535-2024")</f>
        <v/>
      </c>
      <c r="V51">
        <f>HYPERLINK("https://klasma.github.io/Logging_1882/klagomål/A 7535-2024 FSC-klagomål.docx", "A 7535-2024")</f>
        <v/>
      </c>
      <c r="W51">
        <f>HYPERLINK("https://klasma.github.io/Logging_1882/klagomålsmail/A 7535-2024 FSC-klagomål mail.docx", "A 7535-2024")</f>
        <v/>
      </c>
      <c r="X51">
        <f>HYPERLINK("https://klasma.github.io/Logging_1882/tillsyn/A 7535-2024 tillsynsbegäran.docx", "A 7535-2024")</f>
        <v/>
      </c>
      <c r="Y51">
        <f>HYPERLINK("https://klasma.github.io/Logging_1882/tillsynsmail/A 7535-2024 tillsynsbegäran mail.docx", "A 7535-2024")</f>
        <v/>
      </c>
    </row>
    <row r="52" ht="15" customHeight="1">
      <c r="A52" t="inlineStr">
        <is>
          <t>A 3460-2025</t>
        </is>
      </c>
      <c r="B52" s="1" t="n">
        <v>45680</v>
      </c>
      <c r="C52" s="1" t="n">
        <v>45824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Mattlummer</t>
        </is>
      </c>
      <c r="S52">
        <f>HYPERLINK("https://klasma.github.io/Logging_1882/artfynd/A 3460-2025 artfynd.xlsx", "A 3460-2025")</f>
        <v/>
      </c>
      <c r="T52">
        <f>HYPERLINK("https://klasma.github.io/Logging_1882/kartor/A 3460-2025 karta.png", "A 3460-2025")</f>
        <v/>
      </c>
      <c r="V52">
        <f>HYPERLINK("https://klasma.github.io/Logging_1882/klagomål/A 3460-2025 FSC-klagomål.docx", "A 3460-2025")</f>
        <v/>
      </c>
      <c r="W52">
        <f>HYPERLINK("https://klasma.github.io/Logging_1882/klagomålsmail/A 3460-2025 FSC-klagomål mail.docx", "A 3460-2025")</f>
        <v/>
      </c>
      <c r="X52">
        <f>HYPERLINK("https://klasma.github.io/Logging_1882/tillsyn/A 3460-2025 tillsynsbegäran.docx", "A 3460-2025")</f>
        <v/>
      </c>
      <c r="Y52">
        <f>HYPERLINK("https://klasma.github.io/Logging_1882/tillsynsmail/A 3460-2025 tillsynsbegäran mail.docx", "A 3460-2025")</f>
        <v/>
      </c>
    </row>
    <row r="53" ht="15" customHeight="1">
      <c r="A53" t="inlineStr">
        <is>
          <t>A 25813-2019</t>
        </is>
      </c>
      <c r="B53" s="1" t="n">
        <v>43608</v>
      </c>
      <c r="C53" s="1" t="n">
        <v>45824</v>
      </c>
      <c r="D53" t="inlineStr">
        <is>
          <t>ÖREBRO LÄN</t>
        </is>
      </c>
      <c r="E53" t="inlineStr">
        <is>
          <t>ASKERSUND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Ängsstarr</t>
        </is>
      </c>
      <c r="S53">
        <f>HYPERLINK("https://klasma.github.io/Logging_1882/artfynd/A 25813-2019 artfynd.xlsx", "A 25813-2019")</f>
        <v/>
      </c>
      <c r="T53">
        <f>HYPERLINK("https://klasma.github.io/Logging_1882/kartor/A 25813-2019 karta.png", "A 25813-2019")</f>
        <v/>
      </c>
      <c r="V53">
        <f>HYPERLINK("https://klasma.github.io/Logging_1882/klagomål/A 25813-2019 FSC-klagomål.docx", "A 25813-2019")</f>
        <v/>
      </c>
      <c r="W53">
        <f>HYPERLINK("https://klasma.github.io/Logging_1882/klagomålsmail/A 25813-2019 FSC-klagomål mail.docx", "A 25813-2019")</f>
        <v/>
      </c>
      <c r="X53">
        <f>HYPERLINK("https://klasma.github.io/Logging_1882/tillsyn/A 25813-2019 tillsynsbegäran.docx", "A 25813-2019")</f>
        <v/>
      </c>
      <c r="Y53">
        <f>HYPERLINK("https://klasma.github.io/Logging_1882/tillsynsmail/A 25813-2019 tillsynsbegäran mail.docx", "A 25813-2019")</f>
        <v/>
      </c>
    </row>
    <row r="54" ht="15" customHeight="1">
      <c r="A54" t="inlineStr">
        <is>
          <t>A 39515-2019</t>
        </is>
      </c>
      <c r="B54" s="1" t="n">
        <v>43691</v>
      </c>
      <c r="C54" s="1" t="n">
        <v>45824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39515-2019 artfynd.xlsx", "A 39515-2019")</f>
        <v/>
      </c>
      <c r="T54">
        <f>HYPERLINK("https://klasma.github.io/Logging_1882/kartor/A 39515-2019 karta.png", "A 39515-2019")</f>
        <v/>
      </c>
      <c r="V54">
        <f>HYPERLINK("https://klasma.github.io/Logging_1882/klagomål/A 39515-2019 FSC-klagomål.docx", "A 39515-2019")</f>
        <v/>
      </c>
      <c r="W54">
        <f>HYPERLINK("https://klasma.github.io/Logging_1882/klagomålsmail/A 39515-2019 FSC-klagomål mail.docx", "A 39515-2019")</f>
        <v/>
      </c>
      <c r="X54">
        <f>HYPERLINK("https://klasma.github.io/Logging_1882/tillsyn/A 39515-2019 tillsynsbegäran.docx", "A 39515-2019")</f>
        <v/>
      </c>
      <c r="Y54">
        <f>HYPERLINK("https://klasma.github.io/Logging_1882/tillsynsmail/A 39515-2019 tillsynsbegäran mail.docx", "A 39515-2019")</f>
        <v/>
      </c>
    </row>
    <row r="55" ht="15" customHeight="1">
      <c r="A55" t="inlineStr">
        <is>
          <t>A 39511-2019</t>
        </is>
      </c>
      <c r="B55" s="1" t="n">
        <v>43691</v>
      </c>
      <c r="C55" s="1" t="n">
        <v>45824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39511-2019 artfynd.xlsx", "A 39511-2019")</f>
        <v/>
      </c>
      <c r="T55">
        <f>HYPERLINK("https://klasma.github.io/Logging_1882/kartor/A 39511-2019 karta.png", "A 39511-2019")</f>
        <v/>
      </c>
      <c r="V55">
        <f>HYPERLINK("https://klasma.github.io/Logging_1882/klagomål/A 39511-2019 FSC-klagomål.docx", "A 39511-2019")</f>
        <v/>
      </c>
      <c r="W55">
        <f>HYPERLINK("https://klasma.github.io/Logging_1882/klagomålsmail/A 39511-2019 FSC-klagomål mail.docx", "A 39511-2019")</f>
        <v/>
      </c>
      <c r="X55">
        <f>HYPERLINK("https://klasma.github.io/Logging_1882/tillsyn/A 39511-2019 tillsynsbegäran.docx", "A 39511-2019")</f>
        <v/>
      </c>
      <c r="Y55">
        <f>HYPERLINK("https://klasma.github.io/Logging_1882/tillsynsmail/A 39511-2019 tillsynsbegäran mail.docx", "A 39511-2019")</f>
        <v/>
      </c>
    </row>
    <row r="56" ht="15" customHeight="1">
      <c r="A56" t="inlineStr">
        <is>
          <t>A 5722-2020</t>
        </is>
      </c>
      <c r="B56" s="1" t="n">
        <v>43862</v>
      </c>
      <c r="C56" s="1" t="n">
        <v>45824</v>
      </c>
      <c r="D56" t="inlineStr">
        <is>
          <t>ÖREBRO LÄN</t>
        </is>
      </c>
      <c r="E56" t="inlineStr">
        <is>
          <t>ASKERSUND</t>
        </is>
      </c>
      <c r="G56" t="n">
        <v>7.8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HYPERLINK("https://klasma.github.io/Logging_1882/artfynd/A 5722-2020 artfynd.xlsx", "A 5722-2020")</f>
        <v/>
      </c>
      <c r="T56">
        <f>HYPERLINK("https://klasma.github.io/Logging_1882/kartor/A 5722-2020 karta.png", "A 5722-2020")</f>
        <v/>
      </c>
      <c r="V56">
        <f>HYPERLINK("https://klasma.github.io/Logging_1882/klagomål/A 5722-2020 FSC-klagomål.docx", "A 5722-2020")</f>
        <v/>
      </c>
      <c r="W56">
        <f>HYPERLINK("https://klasma.github.io/Logging_1882/klagomålsmail/A 5722-2020 FSC-klagomål mail.docx", "A 5722-2020")</f>
        <v/>
      </c>
      <c r="X56">
        <f>HYPERLINK("https://klasma.github.io/Logging_1882/tillsyn/A 5722-2020 tillsynsbegäran.docx", "A 5722-2020")</f>
        <v/>
      </c>
      <c r="Y56">
        <f>HYPERLINK("https://klasma.github.io/Logging_1882/tillsynsmail/A 5722-2020 tillsynsbegäran mail.docx", "A 5722-2020")</f>
        <v/>
      </c>
    </row>
    <row r="57" ht="15" customHeight="1">
      <c r="A57" t="inlineStr">
        <is>
          <t>A 10540-2020</t>
        </is>
      </c>
      <c r="B57" s="1" t="n">
        <v>43886</v>
      </c>
      <c r="C57" s="1" t="n">
        <v>45824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HYPERLINK("https://klasma.github.io/Logging_1882/artfynd/A 10540-2020 artfynd.xlsx", "A 10540-2020")</f>
        <v/>
      </c>
      <c r="T57">
        <f>HYPERLINK("https://klasma.github.io/Logging_1882/kartor/A 10540-2020 karta.png", "A 10540-2020")</f>
        <v/>
      </c>
      <c r="V57">
        <f>HYPERLINK("https://klasma.github.io/Logging_1882/klagomål/A 10540-2020 FSC-klagomål.docx", "A 10540-2020")</f>
        <v/>
      </c>
      <c r="W57">
        <f>HYPERLINK("https://klasma.github.io/Logging_1882/klagomålsmail/A 10540-2020 FSC-klagomål mail.docx", "A 10540-2020")</f>
        <v/>
      </c>
      <c r="X57">
        <f>HYPERLINK("https://klasma.github.io/Logging_1882/tillsyn/A 10540-2020 tillsynsbegäran.docx", "A 10540-2020")</f>
        <v/>
      </c>
      <c r="Y57">
        <f>HYPERLINK("https://klasma.github.io/Logging_1882/tillsynsmail/A 10540-2020 tillsynsbegäran mail.docx", "A 10540-2020")</f>
        <v/>
      </c>
    </row>
    <row r="58" ht="15" customHeight="1">
      <c r="A58" t="inlineStr">
        <is>
          <t>A 18289-2020</t>
        </is>
      </c>
      <c r="B58" s="1" t="n">
        <v>43928</v>
      </c>
      <c r="C58" s="1" t="n">
        <v>45824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HYPERLINK("https://klasma.github.io/Logging_1882/artfynd/A 18289-2020 artfynd.xlsx", "A 18289-2020")</f>
        <v/>
      </c>
      <c r="T58">
        <f>HYPERLINK("https://klasma.github.io/Logging_1882/kartor/A 18289-2020 karta.png", "A 18289-2020")</f>
        <v/>
      </c>
      <c r="V58">
        <f>HYPERLINK("https://klasma.github.io/Logging_1882/klagomål/A 18289-2020 FSC-klagomål.docx", "A 18289-2020")</f>
        <v/>
      </c>
      <c r="W58">
        <f>HYPERLINK("https://klasma.github.io/Logging_1882/klagomålsmail/A 18289-2020 FSC-klagomål mail.docx", "A 18289-2020")</f>
        <v/>
      </c>
      <c r="X58">
        <f>HYPERLINK("https://klasma.github.io/Logging_1882/tillsyn/A 18289-2020 tillsynsbegäran.docx", "A 18289-2020")</f>
        <v/>
      </c>
      <c r="Y58">
        <f>HYPERLINK("https://klasma.github.io/Logging_1882/tillsynsmail/A 18289-2020 tillsynsbegäran mail.docx", "A 18289-2020")</f>
        <v/>
      </c>
    </row>
    <row r="59" ht="15" customHeight="1">
      <c r="A59" t="inlineStr">
        <is>
          <t>A 18287-2020</t>
        </is>
      </c>
      <c r="B59" s="1" t="n">
        <v>43928</v>
      </c>
      <c r="C59" s="1" t="n">
        <v>45824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HYPERLINK("https://klasma.github.io/Logging_1882/artfynd/A 18287-2020 artfynd.xlsx", "A 18287-2020")</f>
        <v/>
      </c>
      <c r="T59">
        <f>HYPERLINK("https://klasma.github.io/Logging_1882/kartor/A 18287-2020 karta.png", "A 18287-2020")</f>
        <v/>
      </c>
      <c r="V59">
        <f>HYPERLINK("https://klasma.github.io/Logging_1882/klagomål/A 18287-2020 FSC-klagomål.docx", "A 18287-2020")</f>
        <v/>
      </c>
      <c r="W59">
        <f>HYPERLINK("https://klasma.github.io/Logging_1882/klagomålsmail/A 18287-2020 FSC-klagomål mail.docx", "A 18287-2020")</f>
        <v/>
      </c>
      <c r="X59">
        <f>HYPERLINK("https://klasma.github.io/Logging_1882/tillsyn/A 18287-2020 tillsynsbegäran.docx", "A 18287-2020")</f>
        <v/>
      </c>
      <c r="Y59">
        <f>HYPERLINK("https://klasma.github.io/Logging_1882/tillsynsmail/A 18287-2020 tillsynsbegäran mail.docx", "A 18287-2020")</f>
        <v/>
      </c>
    </row>
    <row r="60" ht="15" customHeight="1">
      <c r="A60" t="inlineStr">
        <is>
          <t>A 25651-2020</t>
        </is>
      </c>
      <c r="B60" s="1" t="n">
        <v>43983</v>
      </c>
      <c r="C60" s="1" t="n">
        <v>45824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HYPERLINK("https://klasma.github.io/Logging_1882/artfynd/A 25651-2020 artfynd.xlsx", "A 25651-2020")</f>
        <v/>
      </c>
      <c r="T60">
        <f>HYPERLINK("https://klasma.github.io/Logging_1882/kartor/A 25651-2020 karta.png", "A 25651-2020")</f>
        <v/>
      </c>
      <c r="V60">
        <f>HYPERLINK("https://klasma.github.io/Logging_1882/klagomål/A 25651-2020 FSC-klagomål.docx", "A 25651-2020")</f>
        <v/>
      </c>
      <c r="W60">
        <f>HYPERLINK("https://klasma.github.io/Logging_1882/klagomålsmail/A 25651-2020 FSC-klagomål mail.docx", "A 25651-2020")</f>
        <v/>
      </c>
      <c r="X60">
        <f>HYPERLINK("https://klasma.github.io/Logging_1882/tillsyn/A 25651-2020 tillsynsbegäran.docx", "A 25651-2020")</f>
        <v/>
      </c>
      <c r="Y60">
        <f>HYPERLINK("https://klasma.github.io/Logging_1882/tillsynsmail/A 25651-2020 tillsynsbegäran mail.docx", "A 25651-2020")</f>
        <v/>
      </c>
      <c r="Z60">
        <f>HYPERLINK("https://klasma.github.io/Logging_1882/fåglar/A 25651-2020 prioriterade fågelarter.docx", "A 25651-2020")</f>
        <v/>
      </c>
    </row>
    <row r="61" ht="15" customHeight="1">
      <c r="A61" t="inlineStr">
        <is>
          <t>A 32403-2020</t>
        </is>
      </c>
      <c r="B61" s="1" t="n">
        <v>44018</v>
      </c>
      <c r="C61" s="1" t="n">
        <v>45824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HYPERLINK("https://klasma.github.io/Logging_1882/artfynd/A 32403-2020 artfynd.xlsx", "A 32403-2020")</f>
        <v/>
      </c>
      <c r="T61">
        <f>HYPERLINK("https://klasma.github.io/Logging_1882/kartor/A 32403-2020 karta.png", "A 32403-2020")</f>
        <v/>
      </c>
      <c r="V61">
        <f>HYPERLINK("https://klasma.github.io/Logging_1882/klagomål/A 32403-2020 FSC-klagomål.docx", "A 32403-2020")</f>
        <v/>
      </c>
      <c r="W61">
        <f>HYPERLINK("https://klasma.github.io/Logging_1882/klagomålsmail/A 32403-2020 FSC-klagomål mail.docx", "A 32403-2020")</f>
        <v/>
      </c>
      <c r="X61">
        <f>HYPERLINK("https://klasma.github.io/Logging_1882/tillsyn/A 32403-2020 tillsynsbegäran.docx", "A 32403-2020")</f>
        <v/>
      </c>
      <c r="Y61">
        <f>HYPERLINK("https://klasma.github.io/Logging_1882/tillsynsmail/A 32403-2020 tillsynsbegäran mail.docx", "A 32403-2020")</f>
        <v/>
      </c>
    </row>
    <row r="62" ht="15" customHeight="1">
      <c r="A62" t="inlineStr">
        <is>
          <t>A 32905-2020</t>
        </is>
      </c>
      <c r="B62" s="1" t="n">
        <v>44020</v>
      </c>
      <c r="C62" s="1" t="n">
        <v>45824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32905-2020 artfynd.xlsx", "A 32905-2020")</f>
        <v/>
      </c>
      <c r="T62">
        <f>HYPERLINK("https://klasma.github.io/Logging_1882/kartor/A 32905-2020 karta.png", "A 32905-2020")</f>
        <v/>
      </c>
      <c r="V62">
        <f>HYPERLINK("https://klasma.github.io/Logging_1882/klagomål/A 32905-2020 FSC-klagomål.docx", "A 32905-2020")</f>
        <v/>
      </c>
      <c r="W62">
        <f>HYPERLINK("https://klasma.github.io/Logging_1882/klagomålsmail/A 32905-2020 FSC-klagomål mail.docx", "A 32905-2020")</f>
        <v/>
      </c>
      <c r="X62">
        <f>HYPERLINK("https://klasma.github.io/Logging_1882/tillsyn/A 32905-2020 tillsynsbegäran.docx", "A 32905-2020")</f>
        <v/>
      </c>
      <c r="Y62">
        <f>HYPERLINK("https://klasma.github.io/Logging_1882/tillsynsmail/A 32905-2020 tillsynsbegäran mail.docx", "A 32905-2020")</f>
        <v/>
      </c>
    </row>
    <row r="63" ht="15" customHeight="1">
      <c r="A63" t="inlineStr">
        <is>
          <t>A 34760-2020</t>
        </is>
      </c>
      <c r="B63" s="1" t="n">
        <v>44035</v>
      </c>
      <c r="C63" s="1" t="n">
        <v>45824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HYPERLINK("https://klasma.github.io/Logging_1882/artfynd/A 34760-2020 artfynd.xlsx", "A 34760-2020")</f>
        <v/>
      </c>
      <c r="T63">
        <f>HYPERLINK("https://klasma.github.io/Logging_1882/kartor/A 34760-2020 karta.png", "A 34760-2020")</f>
        <v/>
      </c>
      <c r="V63">
        <f>HYPERLINK("https://klasma.github.io/Logging_1882/klagomål/A 34760-2020 FSC-klagomål.docx", "A 34760-2020")</f>
        <v/>
      </c>
      <c r="W63">
        <f>HYPERLINK("https://klasma.github.io/Logging_1882/klagomålsmail/A 34760-2020 FSC-klagomål mail.docx", "A 34760-2020")</f>
        <v/>
      </c>
      <c r="X63">
        <f>HYPERLINK("https://klasma.github.io/Logging_1882/tillsyn/A 34760-2020 tillsynsbegäran.docx", "A 34760-2020")</f>
        <v/>
      </c>
      <c r="Y63">
        <f>HYPERLINK("https://klasma.github.io/Logging_1882/tillsynsmail/A 34760-2020 tillsynsbegäran mail.docx", "A 34760-2020")</f>
        <v/>
      </c>
    </row>
    <row r="64" ht="15" customHeight="1">
      <c r="A64" t="inlineStr">
        <is>
          <t>A 39904-2020</t>
        </is>
      </c>
      <c r="B64" s="1" t="n">
        <v>44067</v>
      </c>
      <c r="C64" s="1" t="n">
        <v>45824</v>
      </c>
      <c r="D64" t="inlineStr">
        <is>
          <t>ÖREBRO LÄN</t>
        </is>
      </c>
      <c r="E64" t="inlineStr">
        <is>
          <t>ASKERSUND</t>
        </is>
      </c>
      <c r="G64" t="n">
        <v>8.800000000000001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HYPERLINK("https://klasma.github.io/Logging_1882/artfynd/A 39904-2020 artfynd.xlsx", "A 39904-2020")</f>
        <v/>
      </c>
      <c r="T64">
        <f>HYPERLINK("https://klasma.github.io/Logging_1882/kartor/A 39904-2020 karta.png", "A 39904-2020")</f>
        <v/>
      </c>
      <c r="V64">
        <f>HYPERLINK("https://klasma.github.io/Logging_1882/klagomål/A 39904-2020 FSC-klagomål.docx", "A 39904-2020")</f>
        <v/>
      </c>
      <c r="W64">
        <f>HYPERLINK("https://klasma.github.io/Logging_1882/klagomålsmail/A 39904-2020 FSC-klagomål mail.docx", "A 39904-2020")</f>
        <v/>
      </c>
      <c r="X64">
        <f>HYPERLINK("https://klasma.github.io/Logging_1882/tillsyn/A 39904-2020 tillsynsbegäran.docx", "A 39904-2020")</f>
        <v/>
      </c>
      <c r="Y64">
        <f>HYPERLINK("https://klasma.github.io/Logging_1882/tillsynsmail/A 39904-2020 tillsynsbegäran mail.docx", "A 39904-2020")</f>
        <v/>
      </c>
    </row>
    <row r="65" ht="15" customHeight="1">
      <c r="A65" t="inlineStr">
        <is>
          <t>A 168-2021</t>
        </is>
      </c>
      <c r="B65" s="1" t="n">
        <v>44200</v>
      </c>
      <c r="C65" s="1" t="n">
        <v>45824</v>
      </c>
      <c r="D65" t="inlineStr">
        <is>
          <t>ÖREBRO LÄN</t>
        </is>
      </c>
      <c r="E65" t="inlineStr">
        <is>
          <t>ASKERSUND</t>
        </is>
      </c>
      <c r="G65" t="n">
        <v>4.7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HYPERLINK("https://klasma.github.io/Logging_1882/artfynd/A 168-2021 artfynd.xlsx", "A 168-2021")</f>
        <v/>
      </c>
      <c r="T65">
        <f>HYPERLINK("https://klasma.github.io/Logging_1882/kartor/A 168-2021 karta.png", "A 168-2021")</f>
        <v/>
      </c>
      <c r="U65">
        <f>HYPERLINK("https://klasma.github.io/Logging_1882/knärot/A 168-2021 karta knärot.png", "A 168-2021")</f>
        <v/>
      </c>
      <c r="V65">
        <f>HYPERLINK("https://klasma.github.io/Logging_1882/klagomål/A 168-2021 FSC-klagomål.docx", "A 168-2021")</f>
        <v/>
      </c>
      <c r="W65">
        <f>HYPERLINK("https://klasma.github.io/Logging_1882/klagomålsmail/A 168-2021 FSC-klagomål mail.docx", "A 168-2021")</f>
        <v/>
      </c>
      <c r="X65">
        <f>HYPERLINK("https://klasma.github.io/Logging_1882/tillsyn/A 168-2021 tillsynsbegäran.docx", "A 168-2021")</f>
        <v/>
      </c>
      <c r="Y65">
        <f>HYPERLINK("https://klasma.github.io/Logging_1882/tillsynsmail/A 168-2021 tillsynsbegäran mail.docx", "A 168-2021")</f>
        <v/>
      </c>
    </row>
    <row r="66" ht="15" customHeight="1">
      <c r="A66" t="inlineStr">
        <is>
          <t>A 39575-2021</t>
        </is>
      </c>
      <c r="B66" s="1" t="n">
        <v>44416</v>
      </c>
      <c r="C66" s="1" t="n">
        <v>45824</v>
      </c>
      <c r="D66" t="inlineStr">
        <is>
          <t>ÖREBRO LÄN</t>
        </is>
      </c>
      <c r="E66" t="inlineStr">
        <is>
          <t>ASKERSUND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HYPERLINK("https://klasma.github.io/Logging_1882/artfynd/A 39575-2021 artfynd.xlsx", "A 39575-2021")</f>
        <v/>
      </c>
      <c r="T66">
        <f>HYPERLINK("https://klasma.github.io/Logging_1882/kartor/A 39575-2021 karta.png", "A 39575-2021")</f>
        <v/>
      </c>
      <c r="V66">
        <f>HYPERLINK("https://klasma.github.io/Logging_1882/klagomål/A 39575-2021 FSC-klagomål.docx", "A 39575-2021")</f>
        <v/>
      </c>
      <c r="W66">
        <f>HYPERLINK("https://klasma.github.io/Logging_1882/klagomålsmail/A 39575-2021 FSC-klagomål mail.docx", "A 39575-2021")</f>
        <v/>
      </c>
      <c r="X66">
        <f>HYPERLINK("https://klasma.github.io/Logging_1882/tillsyn/A 39575-2021 tillsynsbegäran.docx", "A 39575-2021")</f>
        <v/>
      </c>
      <c r="Y66">
        <f>HYPERLINK("https://klasma.github.io/Logging_1882/tillsynsmail/A 39575-2021 tillsynsbegäran mail.docx", "A 39575-2021")</f>
        <v/>
      </c>
    </row>
    <row r="67" ht="15" customHeight="1">
      <c r="A67" t="inlineStr">
        <is>
          <t>A 48684-2021</t>
        </is>
      </c>
      <c r="B67" s="1" t="n">
        <v>44452</v>
      </c>
      <c r="C67" s="1" t="n">
        <v>45824</v>
      </c>
      <c r="D67" t="inlineStr">
        <is>
          <t>ÖREBRO LÄN</t>
        </is>
      </c>
      <c r="E67" t="inlineStr">
        <is>
          <t>ASKERSUND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HYPERLINK("https://klasma.github.io/Logging_1882/artfynd/A 48684-2021 artfynd.xlsx", "A 48684-2021")</f>
        <v/>
      </c>
      <c r="T67">
        <f>HYPERLINK("https://klasma.github.io/Logging_1882/kartor/A 48684-2021 karta.png", "A 48684-2021")</f>
        <v/>
      </c>
      <c r="V67">
        <f>HYPERLINK("https://klasma.github.io/Logging_1882/klagomål/A 48684-2021 FSC-klagomål.docx", "A 48684-2021")</f>
        <v/>
      </c>
      <c r="W67">
        <f>HYPERLINK("https://klasma.github.io/Logging_1882/klagomålsmail/A 48684-2021 FSC-klagomål mail.docx", "A 48684-2021")</f>
        <v/>
      </c>
      <c r="X67">
        <f>HYPERLINK("https://klasma.github.io/Logging_1882/tillsyn/A 48684-2021 tillsynsbegäran.docx", "A 48684-2021")</f>
        <v/>
      </c>
      <c r="Y67">
        <f>HYPERLINK("https://klasma.github.io/Logging_1882/tillsynsmail/A 48684-2021 tillsynsbegäran mail.docx", "A 48684-2021")</f>
        <v/>
      </c>
    </row>
    <row r="68" ht="15" customHeight="1">
      <c r="A68" t="inlineStr">
        <is>
          <t>A 51319-2021</t>
        </is>
      </c>
      <c r="B68" s="1" t="n">
        <v>44461</v>
      </c>
      <c r="C68" s="1" t="n">
        <v>45824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bastardsvärmare</t>
        </is>
      </c>
      <c r="S68">
        <f>HYPERLINK("https://klasma.github.io/Logging_1882/artfynd/A 51319-2021 artfynd.xlsx", "A 51319-2021")</f>
        <v/>
      </c>
      <c r="T68">
        <f>HYPERLINK("https://klasma.github.io/Logging_1882/kartor/A 51319-2021 karta.png", "A 51319-2021")</f>
        <v/>
      </c>
      <c r="V68">
        <f>HYPERLINK("https://klasma.github.io/Logging_1882/klagomål/A 51319-2021 FSC-klagomål.docx", "A 51319-2021")</f>
        <v/>
      </c>
      <c r="W68">
        <f>HYPERLINK("https://klasma.github.io/Logging_1882/klagomålsmail/A 51319-2021 FSC-klagomål mail.docx", "A 51319-2021")</f>
        <v/>
      </c>
      <c r="X68">
        <f>HYPERLINK("https://klasma.github.io/Logging_1882/tillsyn/A 51319-2021 tillsynsbegäran.docx", "A 51319-2021")</f>
        <v/>
      </c>
      <c r="Y68">
        <f>HYPERLINK("https://klasma.github.io/Logging_1882/tillsynsmail/A 51319-2021 tillsynsbegäran mail.docx", "A 51319-2021")</f>
        <v/>
      </c>
    </row>
    <row r="69" ht="15" customHeight="1">
      <c r="A69" t="inlineStr">
        <is>
          <t>A 55832-2021</t>
        </is>
      </c>
      <c r="B69" s="1" t="n">
        <v>44476</v>
      </c>
      <c r="C69" s="1" t="n">
        <v>45824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HYPERLINK("https://klasma.github.io/Logging_1882/artfynd/A 55832-2021 artfynd.xlsx", "A 55832-2021")</f>
        <v/>
      </c>
      <c r="T69">
        <f>HYPERLINK("https://klasma.github.io/Logging_1882/kartor/A 55832-2021 karta.png", "A 55832-2021")</f>
        <v/>
      </c>
      <c r="V69">
        <f>HYPERLINK("https://klasma.github.io/Logging_1882/klagomål/A 55832-2021 FSC-klagomål.docx", "A 55832-2021")</f>
        <v/>
      </c>
      <c r="W69">
        <f>HYPERLINK("https://klasma.github.io/Logging_1882/klagomålsmail/A 55832-2021 FSC-klagomål mail.docx", "A 55832-2021")</f>
        <v/>
      </c>
      <c r="X69">
        <f>HYPERLINK("https://klasma.github.io/Logging_1882/tillsyn/A 55832-2021 tillsynsbegäran.docx", "A 55832-2021")</f>
        <v/>
      </c>
      <c r="Y69">
        <f>HYPERLINK("https://klasma.github.io/Logging_1882/tillsynsmail/A 55832-2021 tillsynsbegäran mail.docx", "A 55832-2021")</f>
        <v/>
      </c>
    </row>
    <row r="70" ht="15" customHeight="1">
      <c r="A70" t="inlineStr">
        <is>
          <t>A 63535-2021</t>
        </is>
      </c>
      <c r="B70" s="1" t="n">
        <v>44508</v>
      </c>
      <c r="C70" s="1" t="n">
        <v>45824</v>
      </c>
      <c r="D70" t="inlineStr">
        <is>
          <t>ÖREBRO LÄN</t>
        </is>
      </c>
      <c r="E70" t="inlineStr">
        <is>
          <t>ASKERSUND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Humlerotfjäril</t>
        </is>
      </c>
      <c r="S70">
        <f>HYPERLINK("https://klasma.github.io/Logging_1882/artfynd/A 63535-2021 artfynd.xlsx", "A 63535-2021")</f>
        <v/>
      </c>
      <c r="T70">
        <f>HYPERLINK("https://klasma.github.io/Logging_1882/kartor/A 63535-2021 karta.png", "A 63535-2021")</f>
        <v/>
      </c>
      <c r="V70">
        <f>HYPERLINK("https://klasma.github.io/Logging_1882/klagomål/A 63535-2021 FSC-klagomål.docx", "A 63535-2021")</f>
        <v/>
      </c>
      <c r="W70">
        <f>HYPERLINK("https://klasma.github.io/Logging_1882/klagomålsmail/A 63535-2021 FSC-klagomål mail.docx", "A 63535-2021")</f>
        <v/>
      </c>
      <c r="X70">
        <f>HYPERLINK("https://klasma.github.io/Logging_1882/tillsyn/A 63535-2021 tillsynsbegäran.docx", "A 63535-2021")</f>
        <v/>
      </c>
      <c r="Y70">
        <f>HYPERLINK("https://klasma.github.io/Logging_1882/tillsynsmail/A 63535-2021 tillsynsbegäran mail.docx", "A 63535-2021")</f>
        <v/>
      </c>
    </row>
    <row r="71" ht="15" customHeight="1">
      <c r="A71" t="inlineStr">
        <is>
          <t>A 66339-2021</t>
        </is>
      </c>
      <c r="B71" s="1" t="n">
        <v>44518</v>
      </c>
      <c r="C71" s="1" t="n">
        <v>45824</v>
      </c>
      <c r="D71" t="inlineStr">
        <is>
          <t>ÖREBRO LÄN</t>
        </is>
      </c>
      <c r="E71" t="inlineStr">
        <is>
          <t>ASKERSUND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Gransotdyna</t>
        </is>
      </c>
      <c r="S71">
        <f>HYPERLINK("https://klasma.github.io/Logging_1882/artfynd/A 66339-2021 artfynd.xlsx", "A 66339-2021")</f>
        <v/>
      </c>
      <c r="T71">
        <f>HYPERLINK("https://klasma.github.io/Logging_1882/kartor/A 66339-2021 karta.png", "A 66339-2021")</f>
        <v/>
      </c>
      <c r="V71">
        <f>HYPERLINK("https://klasma.github.io/Logging_1882/klagomål/A 66339-2021 FSC-klagomål.docx", "A 66339-2021")</f>
        <v/>
      </c>
      <c r="W71">
        <f>HYPERLINK("https://klasma.github.io/Logging_1882/klagomålsmail/A 66339-2021 FSC-klagomål mail.docx", "A 66339-2021")</f>
        <v/>
      </c>
      <c r="X71">
        <f>HYPERLINK("https://klasma.github.io/Logging_1882/tillsyn/A 66339-2021 tillsynsbegäran.docx", "A 66339-2021")</f>
        <v/>
      </c>
      <c r="Y71">
        <f>HYPERLINK("https://klasma.github.io/Logging_1882/tillsynsmail/A 66339-2021 tillsynsbegäran mail.docx", "A 66339-2021")</f>
        <v/>
      </c>
    </row>
    <row r="72" ht="15" customHeight="1">
      <c r="A72" t="inlineStr">
        <is>
          <t>A 20197-2022</t>
        </is>
      </c>
      <c r="B72" s="1" t="n">
        <v>44698</v>
      </c>
      <c r="C72" s="1" t="n">
        <v>45824</v>
      </c>
      <c r="D72" t="inlineStr">
        <is>
          <t>ÖREBRO LÄN</t>
        </is>
      </c>
      <c r="E72" t="inlineStr">
        <is>
          <t>ASKERSUND</t>
        </is>
      </c>
      <c r="G72" t="n">
        <v>9.5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HYPERLINK("https://klasma.github.io/Logging_1882/artfynd/A 20197-2022 artfynd.xlsx", "A 20197-2022")</f>
        <v/>
      </c>
      <c r="T72">
        <f>HYPERLINK("https://klasma.github.io/Logging_1882/kartor/A 20197-2022 karta.png", "A 20197-2022")</f>
        <v/>
      </c>
      <c r="V72">
        <f>HYPERLINK("https://klasma.github.io/Logging_1882/klagomål/A 20197-2022 FSC-klagomål.docx", "A 20197-2022")</f>
        <v/>
      </c>
      <c r="W72">
        <f>HYPERLINK("https://klasma.github.io/Logging_1882/klagomålsmail/A 20197-2022 FSC-klagomål mail.docx", "A 20197-2022")</f>
        <v/>
      </c>
      <c r="X72">
        <f>HYPERLINK("https://klasma.github.io/Logging_1882/tillsyn/A 20197-2022 tillsynsbegäran.docx", "A 20197-2022")</f>
        <v/>
      </c>
      <c r="Y72">
        <f>HYPERLINK("https://klasma.github.io/Logging_1882/tillsynsmail/A 20197-2022 tillsynsbegäran mail.docx", "A 20197-2022")</f>
        <v/>
      </c>
    </row>
    <row r="73" ht="15" customHeight="1">
      <c r="A73" t="inlineStr">
        <is>
          <t>A 30189-2022</t>
        </is>
      </c>
      <c r="B73" s="1" t="n">
        <v>44757</v>
      </c>
      <c r="C73" s="1" t="n">
        <v>45824</v>
      </c>
      <c r="D73" t="inlineStr">
        <is>
          <t>ÖREBRO LÄN</t>
        </is>
      </c>
      <c r="E73" t="inlineStr">
        <is>
          <t>ASKERSUND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HYPERLINK("https://klasma.github.io/Logging_1882/artfynd/A 30189-2022 artfynd.xlsx", "A 30189-2022")</f>
        <v/>
      </c>
      <c r="T73">
        <f>HYPERLINK("https://klasma.github.io/Logging_1882/kartor/A 30189-2022 karta.png", "A 30189-2022")</f>
        <v/>
      </c>
      <c r="V73">
        <f>HYPERLINK("https://klasma.github.io/Logging_1882/klagomål/A 30189-2022 FSC-klagomål.docx", "A 30189-2022")</f>
        <v/>
      </c>
      <c r="W73">
        <f>HYPERLINK("https://klasma.github.io/Logging_1882/klagomålsmail/A 30189-2022 FSC-klagomål mail.docx", "A 30189-2022")</f>
        <v/>
      </c>
      <c r="X73">
        <f>HYPERLINK("https://klasma.github.io/Logging_1882/tillsyn/A 30189-2022 tillsynsbegäran.docx", "A 30189-2022")</f>
        <v/>
      </c>
      <c r="Y73">
        <f>HYPERLINK("https://klasma.github.io/Logging_1882/tillsynsmail/A 30189-2022 tillsynsbegäran mail.docx", "A 30189-2022")</f>
        <v/>
      </c>
    </row>
    <row r="74" ht="15" customHeight="1">
      <c r="A74" t="inlineStr">
        <is>
          <t>A 48879-2022</t>
        </is>
      </c>
      <c r="B74" s="1" t="n">
        <v>44859</v>
      </c>
      <c r="C74" s="1" t="n">
        <v>45824</v>
      </c>
      <c r="D74" t="inlineStr">
        <is>
          <t>ÖREBRO LÄN</t>
        </is>
      </c>
      <c r="E74" t="inlineStr">
        <is>
          <t>ASKERSUND</t>
        </is>
      </c>
      <c r="G74" t="n">
        <v>8.199999999999999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Rutspindling</t>
        </is>
      </c>
      <c r="S74">
        <f>HYPERLINK("https://klasma.github.io/Logging_1882/artfynd/A 48879-2022 artfynd.xlsx", "A 48879-2022")</f>
        <v/>
      </c>
      <c r="T74">
        <f>HYPERLINK("https://klasma.github.io/Logging_1882/kartor/A 48879-2022 karta.png", "A 48879-2022")</f>
        <v/>
      </c>
      <c r="V74">
        <f>HYPERLINK("https://klasma.github.io/Logging_1882/klagomål/A 48879-2022 FSC-klagomål.docx", "A 48879-2022")</f>
        <v/>
      </c>
      <c r="W74">
        <f>HYPERLINK("https://klasma.github.io/Logging_1882/klagomålsmail/A 48879-2022 FSC-klagomål mail.docx", "A 48879-2022")</f>
        <v/>
      </c>
      <c r="X74">
        <f>HYPERLINK("https://klasma.github.io/Logging_1882/tillsyn/A 48879-2022 tillsynsbegäran.docx", "A 48879-2022")</f>
        <v/>
      </c>
      <c r="Y74">
        <f>HYPERLINK("https://klasma.github.io/Logging_1882/tillsynsmail/A 48879-2022 tillsynsbegäran mail.docx", "A 48879-2022")</f>
        <v/>
      </c>
    </row>
    <row r="75" ht="15" customHeight="1">
      <c r="A75" t="inlineStr">
        <is>
          <t>A 5230-2023</t>
        </is>
      </c>
      <c r="B75" s="1" t="n">
        <v>44959</v>
      </c>
      <c r="C75" s="1" t="n">
        <v>45824</v>
      </c>
      <c r="D75" t="inlineStr">
        <is>
          <t>ÖREBRO LÄN</t>
        </is>
      </c>
      <c r="E75" t="inlineStr">
        <is>
          <t>ASKERSUND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HYPERLINK("https://klasma.github.io/Logging_1882/artfynd/A 5230-2023 artfynd.xlsx", "A 5230-2023")</f>
        <v/>
      </c>
      <c r="T75">
        <f>HYPERLINK("https://klasma.github.io/Logging_1882/kartor/A 5230-2023 karta.png", "A 5230-2023")</f>
        <v/>
      </c>
      <c r="V75">
        <f>HYPERLINK("https://klasma.github.io/Logging_1882/klagomål/A 5230-2023 FSC-klagomål.docx", "A 5230-2023")</f>
        <v/>
      </c>
      <c r="W75">
        <f>HYPERLINK("https://klasma.github.io/Logging_1882/klagomålsmail/A 5230-2023 FSC-klagomål mail.docx", "A 5230-2023")</f>
        <v/>
      </c>
      <c r="X75">
        <f>HYPERLINK("https://klasma.github.io/Logging_1882/tillsyn/A 5230-2023 tillsynsbegäran.docx", "A 5230-2023")</f>
        <v/>
      </c>
      <c r="Y75">
        <f>HYPERLINK("https://klasma.github.io/Logging_1882/tillsynsmail/A 5230-2023 tillsynsbegäran mail.docx", "A 5230-2023")</f>
        <v/>
      </c>
    </row>
    <row r="76" ht="15" customHeight="1">
      <c r="A76" t="inlineStr">
        <is>
          <t>A 11498-2023</t>
        </is>
      </c>
      <c r="B76" s="1" t="n">
        <v>44993</v>
      </c>
      <c r="C76" s="1" t="n">
        <v>45824</v>
      </c>
      <c r="D76" t="inlineStr">
        <is>
          <t>ÖREBRO LÄN</t>
        </is>
      </c>
      <c r="E76" t="inlineStr">
        <is>
          <t>ASKERSUND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11498-2023 artfynd.xlsx", "A 11498-2023")</f>
        <v/>
      </c>
      <c r="T76">
        <f>HYPERLINK("https://klasma.github.io/Logging_1882/kartor/A 11498-2023 karta.png", "A 11498-2023")</f>
        <v/>
      </c>
      <c r="V76">
        <f>HYPERLINK("https://klasma.github.io/Logging_1882/klagomål/A 11498-2023 FSC-klagomål.docx", "A 11498-2023")</f>
        <v/>
      </c>
      <c r="W76">
        <f>HYPERLINK("https://klasma.github.io/Logging_1882/klagomålsmail/A 11498-2023 FSC-klagomål mail.docx", "A 11498-2023")</f>
        <v/>
      </c>
      <c r="X76">
        <f>HYPERLINK("https://klasma.github.io/Logging_1882/tillsyn/A 11498-2023 tillsynsbegäran.docx", "A 11498-2023")</f>
        <v/>
      </c>
      <c r="Y76">
        <f>HYPERLINK("https://klasma.github.io/Logging_1882/tillsynsmail/A 11498-2023 tillsynsbegäran mail.docx", "A 11498-2023")</f>
        <v/>
      </c>
    </row>
    <row r="77" ht="15" customHeight="1">
      <c r="A77" t="inlineStr">
        <is>
          <t>A 11519-2023</t>
        </is>
      </c>
      <c r="B77" s="1" t="n">
        <v>44993</v>
      </c>
      <c r="C77" s="1" t="n">
        <v>45824</v>
      </c>
      <c r="D77" t="inlineStr">
        <is>
          <t>ÖREBRO LÄN</t>
        </is>
      </c>
      <c r="E77" t="inlineStr">
        <is>
          <t>ASKERSUND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HYPERLINK("https://klasma.github.io/Logging_1882/artfynd/A 11519-2023 artfynd.xlsx", "A 11519-2023")</f>
        <v/>
      </c>
      <c r="T77">
        <f>HYPERLINK("https://klasma.github.io/Logging_1882/kartor/A 11519-2023 karta.png", "A 11519-2023")</f>
        <v/>
      </c>
      <c r="V77">
        <f>HYPERLINK("https://klasma.github.io/Logging_1882/klagomål/A 11519-2023 FSC-klagomål.docx", "A 11519-2023")</f>
        <v/>
      </c>
      <c r="W77">
        <f>HYPERLINK("https://klasma.github.io/Logging_1882/klagomålsmail/A 11519-2023 FSC-klagomål mail.docx", "A 11519-2023")</f>
        <v/>
      </c>
      <c r="X77">
        <f>HYPERLINK("https://klasma.github.io/Logging_1882/tillsyn/A 11519-2023 tillsynsbegäran.docx", "A 11519-2023")</f>
        <v/>
      </c>
      <c r="Y77">
        <f>HYPERLINK("https://klasma.github.io/Logging_1882/tillsynsmail/A 11519-2023 tillsynsbegäran mail.docx", "A 11519-2023")</f>
        <v/>
      </c>
    </row>
    <row r="78" ht="15" customHeight="1">
      <c r="A78" t="inlineStr">
        <is>
          <t>A 16677-2023</t>
        </is>
      </c>
      <c r="B78" s="1" t="n">
        <v>45030</v>
      </c>
      <c r="C78" s="1" t="n">
        <v>45824</v>
      </c>
      <c r="D78" t="inlineStr">
        <is>
          <t>ÖREBRO LÄN</t>
        </is>
      </c>
      <c r="E78" t="inlineStr">
        <is>
          <t>ASKERSUND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HYPERLINK("https://klasma.github.io/Logging_1882/artfynd/A 16677-2023 artfynd.xlsx", "A 16677-2023")</f>
        <v/>
      </c>
      <c r="T78">
        <f>HYPERLINK("https://klasma.github.io/Logging_1882/kartor/A 16677-2023 karta.png", "A 16677-2023")</f>
        <v/>
      </c>
      <c r="V78">
        <f>HYPERLINK("https://klasma.github.io/Logging_1882/klagomål/A 16677-2023 FSC-klagomål.docx", "A 16677-2023")</f>
        <v/>
      </c>
      <c r="W78">
        <f>HYPERLINK("https://klasma.github.io/Logging_1882/klagomålsmail/A 16677-2023 FSC-klagomål mail.docx", "A 16677-2023")</f>
        <v/>
      </c>
      <c r="X78">
        <f>HYPERLINK("https://klasma.github.io/Logging_1882/tillsyn/A 16677-2023 tillsynsbegäran.docx", "A 16677-2023")</f>
        <v/>
      </c>
      <c r="Y78">
        <f>HYPERLINK("https://klasma.github.io/Logging_1882/tillsynsmail/A 16677-2023 tillsynsbegäran mail.docx", "A 16677-2023")</f>
        <v/>
      </c>
    </row>
    <row r="79" ht="15" customHeight="1">
      <c r="A79" t="inlineStr">
        <is>
          <t>A 28786-2023</t>
        </is>
      </c>
      <c r="B79" s="1" t="n">
        <v>45104</v>
      </c>
      <c r="C79" s="1" t="n">
        <v>45824</v>
      </c>
      <c r="D79" t="inlineStr">
        <is>
          <t>ÖREBRO LÄN</t>
        </is>
      </c>
      <c r="E79" t="inlineStr">
        <is>
          <t>ASKERSUND</t>
        </is>
      </c>
      <c r="G79" t="n">
        <v>9.800000000000001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HYPERLINK("https://klasma.github.io/Logging_1882/artfynd/A 28786-2023 artfynd.xlsx", "A 28786-2023")</f>
        <v/>
      </c>
      <c r="T79">
        <f>HYPERLINK("https://klasma.github.io/Logging_1882/kartor/A 28786-2023 karta.png", "A 28786-2023")</f>
        <v/>
      </c>
      <c r="V79">
        <f>HYPERLINK("https://klasma.github.io/Logging_1882/klagomål/A 28786-2023 FSC-klagomål.docx", "A 28786-2023")</f>
        <v/>
      </c>
      <c r="W79">
        <f>HYPERLINK("https://klasma.github.io/Logging_1882/klagomålsmail/A 28786-2023 FSC-klagomål mail.docx", "A 28786-2023")</f>
        <v/>
      </c>
      <c r="X79">
        <f>HYPERLINK("https://klasma.github.io/Logging_1882/tillsyn/A 28786-2023 tillsynsbegäran.docx", "A 28786-2023")</f>
        <v/>
      </c>
      <c r="Y79">
        <f>HYPERLINK("https://klasma.github.io/Logging_1882/tillsynsmail/A 28786-2023 tillsynsbegäran mail.docx", "A 28786-2023")</f>
        <v/>
      </c>
    </row>
    <row r="80" ht="15" customHeight="1">
      <c r="A80" t="inlineStr">
        <is>
          <t>A 29576-2023</t>
        </is>
      </c>
      <c r="B80" s="1" t="n">
        <v>45106</v>
      </c>
      <c r="C80" s="1" t="n">
        <v>45824</v>
      </c>
      <c r="D80" t="inlineStr">
        <is>
          <t>ÖREBRO LÄN</t>
        </is>
      </c>
      <c r="E80" t="inlineStr">
        <is>
          <t>ASKERSUND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Kornknutmossa</t>
        </is>
      </c>
      <c r="S80">
        <f>HYPERLINK("https://klasma.github.io/Logging_1882/artfynd/A 29576-2023 artfynd.xlsx", "A 29576-2023")</f>
        <v/>
      </c>
      <c r="T80">
        <f>HYPERLINK("https://klasma.github.io/Logging_1882/kartor/A 29576-2023 karta.png", "A 29576-2023")</f>
        <v/>
      </c>
      <c r="V80">
        <f>HYPERLINK("https://klasma.github.io/Logging_1882/klagomål/A 29576-2023 FSC-klagomål.docx", "A 29576-2023")</f>
        <v/>
      </c>
      <c r="W80">
        <f>HYPERLINK("https://klasma.github.io/Logging_1882/klagomålsmail/A 29576-2023 FSC-klagomål mail.docx", "A 29576-2023")</f>
        <v/>
      </c>
      <c r="X80">
        <f>HYPERLINK("https://klasma.github.io/Logging_1882/tillsyn/A 29576-2023 tillsynsbegäran.docx", "A 29576-2023")</f>
        <v/>
      </c>
      <c r="Y80">
        <f>HYPERLINK("https://klasma.github.io/Logging_1882/tillsynsmail/A 29576-2023 tillsynsbegäran mail.docx", "A 29576-2023")</f>
        <v/>
      </c>
    </row>
    <row r="81" ht="15" customHeight="1">
      <c r="A81" t="inlineStr">
        <is>
          <t>A 30446-2023</t>
        </is>
      </c>
      <c r="B81" s="1" t="n">
        <v>45111</v>
      </c>
      <c r="C81" s="1" t="n">
        <v>45824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HYPERLINK("https://klasma.github.io/Logging_1882/artfynd/A 30446-2023 artfynd.xlsx", "A 30446-2023")</f>
        <v/>
      </c>
      <c r="T81">
        <f>HYPERLINK("https://klasma.github.io/Logging_1882/kartor/A 30446-2023 karta.png", "A 30446-2023")</f>
        <v/>
      </c>
      <c r="V81">
        <f>HYPERLINK("https://klasma.github.io/Logging_1882/klagomål/A 30446-2023 FSC-klagomål.docx", "A 30446-2023")</f>
        <v/>
      </c>
      <c r="W81">
        <f>HYPERLINK("https://klasma.github.io/Logging_1882/klagomålsmail/A 30446-2023 FSC-klagomål mail.docx", "A 30446-2023")</f>
        <v/>
      </c>
      <c r="X81">
        <f>HYPERLINK("https://klasma.github.io/Logging_1882/tillsyn/A 30446-2023 tillsynsbegäran.docx", "A 30446-2023")</f>
        <v/>
      </c>
      <c r="Y81">
        <f>HYPERLINK("https://klasma.github.io/Logging_1882/tillsynsmail/A 30446-2023 tillsynsbegäran mail.docx", "A 30446-2023")</f>
        <v/>
      </c>
    </row>
    <row r="82" ht="15" customHeight="1">
      <c r="A82" t="inlineStr">
        <is>
          <t>A 31512-2023</t>
        </is>
      </c>
      <c r="B82" s="1" t="n">
        <v>45115</v>
      </c>
      <c r="C82" s="1" t="n">
        <v>45824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HYPERLINK("https://klasma.github.io/Logging_1882/artfynd/A 31512-2023 artfynd.xlsx", "A 31512-2023")</f>
        <v/>
      </c>
      <c r="T82">
        <f>HYPERLINK("https://klasma.github.io/Logging_1882/kartor/A 31512-2023 karta.png", "A 31512-2023")</f>
        <v/>
      </c>
      <c r="V82">
        <f>HYPERLINK("https://klasma.github.io/Logging_1882/klagomål/A 31512-2023 FSC-klagomål.docx", "A 31512-2023")</f>
        <v/>
      </c>
      <c r="W82">
        <f>HYPERLINK("https://klasma.github.io/Logging_1882/klagomålsmail/A 31512-2023 FSC-klagomål mail.docx", "A 31512-2023")</f>
        <v/>
      </c>
      <c r="X82">
        <f>HYPERLINK("https://klasma.github.io/Logging_1882/tillsyn/A 31512-2023 tillsynsbegäran.docx", "A 31512-2023")</f>
        <v/>
      </c>
      <c r="Y82">
        <f>HYPERLINK("https://klasma.github.io/Logging_1882/tillsynsmail/A 31512-2023 tillsynsbegäran mail.docx", "A 31512-2023")</f>
        <v/>
      </c>
      <c r="Z82">
        <f>HYPERLINK("https://klasma.github.io/Logging_1882/fåglar/A 31512-2023 prioriterade fågelarter.docx", "A 31512-2023")</f>
        <v/>
      </c>
    </row>
    <row r="83" ht="15" customHeight="1">
      <c r="A83" t="inlineStr">
        <is>
          <t>A 44159-2023</t>
        </is>
      </c>
      <c r="B83" s="1" t="n">
        <v>45188</v>
      </c>
      <c r="C83" s="1" t="n">
        <v>45824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5.9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HYPERLINK("https://klasma.github.io/Logging_1882/artfynd/A 44159-2023 artfynd.xlsx", "A 44159-2023")</f>
        <v/>
      </c>
      <c r="T83">
        <f>HYPERLINK("https://klasma.github.io/Logging_1882/kartor/A 44159-2023 karta.png", "A 44159-2023")</f>
        <v/>
      </c>
      <c r="U83">
        <f>HYPERLINK("https://klasma.github.io/Logging_1882/knärot/A 44159-2023 karta knärot.png", "A 44159-2023")</f>
        <v/>
      </c>
      <c r="V83">
        <f>HYPERLINK("https://klasma.github.io/Logging_1882/klagomål/A 44159-2023 FSC-klagomål.docx", "A 44159-2023")</f>
        <v/>
      </c>
      <c r="W83">
        <f>HYPERLINK("https://klasma.github.io/Logging_1882/klagomålsmail/A 44159-2023 FSC-klagomål mail.docx", "A 44159-2023")</f>
        <v/>
      </c>
      <c r="X83">
        <f>HYPERLINK("https://klasma.github.io/Logging_1882/tillsyn/A 44159-2023 tillsynsbegäran.docx", "A 44159-2023")</f>
        <v/>
      </c>
      <c r="Y83">
        <f>HYPERLINK("https://klasma.github.io/Logging_1882/tillsynsmail/A 44159-2023 tillsynsbegäran mail.docx", "A 44159-2023")</f>
        <v/>
      </c>
    </row>
    <row r="84" ht="15" customHeight="1">
      <c r="A84" t="inlineStr">
        <is>
          <t>A 53364-2023</t>
        </is>
      </c>
      <c r="B84" s="1" t="n">
        <v>45229</v>
      </c>
      <c r="C84" s="1" t="n">
        <v>45824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blåvinge</t>
        </is>
      </c>
      <c r="S84">
        <f>HYPERLINK("https://klasma.github.io/Logging_1882/artfynd/A 53364-2023 artfynd.xlsx", "A 53364-2023")</f>
        <v/>
      </c>
      <c r="T84">
        <f>HYPERLINK("https://klasma.github.io/Logging_1882/kartor/A 53364-2023 karta.png", "A 53364-2023")</f>
        <v/>
      </c>
      <c r="V84">
        <f>HYPERLINK("https://klasma.github.io/Logging_1882/klagomål/A 53364-2023 FSC-klagomål.docx", "A 53364-2023")</f>
        <v/>
      </c>
      <c r="W84">
        <f>HYPERLINK("https://klasma.github.io/Logging_1882/klagomålsmail/A 53364-2023 FSC-klagomål mail.docx", "A 53364-2023")</f>
        <v/>
      </c>
      <c r="X84">
        <f>HYPERLINK("https://klasma.github.io/Logging_1882/tillsyn/A 53364-2023 tillsynsbegäran.docx", "A 53364-2023")</f>
        <v/>
      </c>
      <c r="Y84">
        <f>HYPERLINK("https://klasma.github.io/Logging_1882/tillsynsmail/A 53364-2023 tillsynsbegäran mail.docx", "A 53364-2023")</f>
        <v/>
      </c>
    </row>
    <row r="85" ht="15" customHeight="1">
      <c r="A85" t="inlineStr">
        <is>
          <t>A 2561-2024</t>
        </is>
      </c>
      <c r="B85" s="1" t="n">
        <v>45313</v>
      </c>
      <c r="C85" s="1" t="n">
        <v>45824</v>
      </c>
      <c r="D85" t="inlineStr">
        <is>
          <t>ÖREBRO LÄN</t>
        </is>
      </c>
      <c r="E85" t="inlineStr">
        <is>
          <t>ASKERSUND</t>
        </is>
      </c>
      <c r="G85" t="n">
        <v>5.4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HYPERLINK("https://klasma.github.io/Logging_1882/artfynd/A 2561-2024 artfynd.xlsx", "A 2561-2024")</f>
        <v/>
      </c>
      <c r="T85">
        <f>HYPERLINK("https://klasma.github.io/Logging_1882/kartor/A 2561-2024 karta.png", "A 2561-2024")</f>
        <v/>
      </c>
      <c r="V85">
        <f>HYPERLINK("https://klasma.github.io/Logging_1882/klagomål/A 2561-2024 FSC-klagomål.docx", "A 2561-2024")</f>
        <v/>
      </c>
      <c r="W85">
        <f>HYPERLINK("https://klasma.github.io/Logging_1882/klagomålsmail/A 2561-2024 FSC-klagomål mail.docx", "A 2561-2024")</f>
        <v/>
      </c>
      <c r="X85">
        <f>HYPERLINK("https://klasma.github.io/Logging_1882/tillsyn/A 2561-2024 tillsynsbegäran.docx", "A 2561-2024")</f>
        <v/>
      </c>
      <c r="Y85">
        <f>HYPERLINK("https://klasma.github.io/Logging_1882/tillsynsmail/A 2561-2024 tillsynsbegäran mail.docx", "A 2561-2024")</f>
        <v/>
      </c>
    </row>
    <row r="86" ht="15" customHeight="1">
      <c r="A86" t="inlineStr">
        <is>
          <t>A 4508-2024</t>
        </is>
      </c>
      <c r="B86" s="1" t="n">
        <v>45327</v>
      </c>
      <c r="C86" s="1" t="n">
        <v>45824</v>
      </c>
      <c r="D86" t="inlineStr">
        <is>
          <t>ÖREBRO LÄN</t>
        </is>
      </c>
      <c r="E86" t="inlineStr">
        <is>
          <t>ASKERSUND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bastardsvärmare</t>
        </is>
      </c>
      <c r="S86">
        <f>HYPERLINK("https://klasma.github.io/Logging_1882/artfynd/A 4508-2024 artfynd.xlsx", "A 4508-2024")</f>
        <v/>
      </c>
      <c r="T86">
        <f>HYPERLINK("https://klasma.github.io/Logging_1882/kartor/A 4508-2024 karta.png", "A 4508-2024")</f>
        <v/>
      </c>
      <c r="V86">
        <f>HYPERLINK("https://klasma.github.io/Logging_1882/klagomål/A 4508-2024 FSC-klagomål.docx", "A 4508-2024")</f>
        <v/>
      </c>
      <c r="W86">
        <f>HYPERLINK("https://klasma.github.io/Logging_1882/klagomålsmail/A 4508-2024 FSC-klagomål mail.docx", "A 4508-2024")</f>
        <v/>
      </c>
      <c r="X86">
        <f>HYPERLINK("https://klasma.github.io/Logging_1882/tillsyn/A 4508-2024 tillsynsbegäran.docx", "A 4508-2024")</f>
        <v/>
      </c>
      <c r="Y86">
        <f>HYPERLINK("https://klasma.github.io/Logging_1882/tillsynsmail/A 4508-2024 tillsynsbegäran mail.docx", "A 4508-2024")</f>
        <v/>
      </c>
    </row>
    <row r="87" ht="15" customHeight="1">
      <c r="A87" t="inlineStr">
        <is>
          <t>A 7069-2024</t>
        </is>
      </c>
      <c r="B87" s="1" t="n">
        <v>45343</v>
      </c>
      <c r="C87" s="1" t="n">
        <v>45824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HYPERLINK("https://klasma.github.io/Logging_1882/artfynd/A 7069-2024 artfynd.xlsx", "A 7069-2024")</f>
        <v/>
      </c>
      <c r="T87">
        <f>HYPERLINK("https://klasma.github.io/Logging_1882/kartor/A 7069-2024 karta.png", "A 7069-2024")</f>
        <v/>
      </c>
      <c r="V87">
        <f>HYPERLINK("https://klasma.github.io/Logging_1882/klagomål/A 7069-2024 FSC-klagomål.docx", "A 7069-2024")</f>
        <v/>
      </c>
      <c r="W87">
        <f>HYPERLINK("https://klasma.github.io/Logging_1882/klagomålsmail/A 7069-2024 FSC-klagomål mail.docx", "A 7069-2024")</f>
        <v/>
      </c>
      <c r="X87">
        <f>HYPERLINK("https://klasma.github.io/Logging_1882/tillsyn/A 7069-2024 tillsynsbegäran.docx", "A 7069-2024")</f>
        <v/>
      </c>
      <c r="Y87">
        <f>HYPERLINK("https://klasma.github.io/Logging_1882/tillsynsmail/A 7069-2024 tillsynsbegäran mail.docx", "A 7069-2024")</f>
        <v/>
      </c>
    </row>
    <row r="88" ht="15" customHeight="1">
      <c r="A88" t="inlineStr">
        <is>
          <t>A 16627-2024</t>
        </is>
      </c>
      <c r="B88" s="1" t="n">
        <v>45408</v>
      </c>
      <c r="C88" s="1" t="n">
        <v>45824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HYPERLINK("https://klasma.github.io/Logging_1882/artfynd/A 16627-2024 artfynd.xlsx", "A 16627-2024")</f>
        <v/>
      </c>
      <c r="T88">
        <f>HYPERLINK("https://klasma.github.io/Logging_1882/kartor/A 16627-2024 karta.png", "A 16627-2024")</f>
        <v/>
      </c>
      <c r="V88">
        <f>HYPERLINK("https://klasma.github.io/Logging_1882/klagomål/A 16627-2024 FSC-klagomål.docx", "A 16627-2024")</f>
        <v/>
      </c>
      <c r="W88">
        <f>HYPERLINK("https://klasma.github.io/Logging_1882/klagomålsmail/A 16627-2024 FSC-klagomål mail.docx", "A 16627-2024")</f>
        <v/>
      </c>
      <c r="X88">
        <f>HYPERLINK("https://klasma.github.io/Logging_1882/tillsyn/A 16627-2024 tillsynsbegäran.docx", "A 16627-2024")</f>
        <v/>
      </c>
      <c r="Y88">
        <f>HYPERLINK("https://klasma.github.io/Logging_1882/tillsynsmail/A 16627-2024 tillsynsbegäran mail.docx", "A 16627-2024")</f>
        <v/>
      </c>
    </row>
    <row r="89" ht="15" customHeight="1">
      <c r="A89" t="inlineStr">
        <is>
          <t>A 22816-2024</t>
        </is>
      </c>
      <c r="B89" s="1" t="n">
        <v>45448</v>
      </c>
      <c r="C89" s="1" t="n">
        <v>45824</v>
      </c>
      <c r="D89" t="inlineStr">
        <is>
          <t>ÖREBRO LÄN</t>
        </is>
      </c>
      <c r="E89" t="inlineStr">
        <is>
          <t>ASKERSUND</t>
        </is>
      </c>
      <c r="F89" t="inlineStr">
        <is>
          <t>Övriga Aktiebolag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HYPERLINK("https://klasma.github.io/Logging_1882/artfynd/A 22816-2024 artfynd.xlsx", "A 22816-2024")</f>
        <v/>
      </c>
      <c r="T89">
        <f>HYPERLINK("https://klasma.github.io/Logging_1882/kartor/A 22816-2024 karta.png", "A 22816-2024")</f>
        <v/>
      </c>
      <c r="V89">
        <f>HYPERLINK("https://klasma.github.io/Logging_1882/klagomål/A 22816-2024 FSC-klagomål.docx", "A 22816-2024")</f>
        <v/>
      </c>
      <c r="W89">
        <f>HYPERLINK("https://klasma.github.io/Logging_1882/klagomålsmail/A 22816-2024 FSC-klagomål mail.docx", "A 22816-2024")</f>
        <v/>
      </c>
      <c r="X89">
        <f>HYPERLINK("https://klasma.github.io/Logging_1882/tillsyn/A 22816-2024 tillsynsbegäran.docx", "A 22816-2024")</f>
        <v/>
      </c>
      <c r="Y89">
        <f>HYPERLINK("https://klasma.github.io/Logging_1882/tillsynsmail/A 22816-2024 tillsynsbegäran mail.docx", "A 22816-2024")</f>
        <v/>
      </c>
    </row>
    <row r="90" ht="15" customHeight="1">
      <c r="A90" t="inlineStr">
        <is>
          <t>A 29119-2024</t>
        </is>
      </c>
      <c r="B90" s="1" t="n">
        <v>45482</v>
      </c>
      <c r="C90" s="1" t="n">
        <v>45824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HYPERLINK("https://klasma.github.io/Logging_1882/artfynd/A 29119-2024 artfynd.xlsx", "A 29119-2024")</f>
        <v/>
      </c>
      <c r="T90">
        <f>HYPERLINK("https://klasma.github.io/Logging_1882/kartor/A 29119-2024 karta.png", "A 29119-2024")</f>
        <v/>
      </c>
      <c r="V90">
        <f>HYPERLINK("https://klasma.github.io/Logging_1882/klagomål/A 29119-2024 FSC-klagomål.docx", "A 29119-2024")</f>
        <v/>
      </c>
      <c r="W90">
        <f>HYPERLINK("https://klasma.github.io/Logging_1882/klagomålsmail/A 29119-2024 FSC-klagomål mail.docx", "A 29119-2024")</f>
        <v/>
      </c>
      <c r="X90">
        <f>HYPERLINK("https://klasma.github.io/Logging_1882/tillsyn/A 29119-2024 tillsynsbegäran.docx", "A 29119-2024")</f>
        <v/>
      </c>
      <c r="Y90">
        <f>HYPERLINK("https://klasma.github.io/Logging_1882/tillsynsmail/A 29119-2024 tillsynsbegäran mail.docx", "A 29119-2024")</f>
        <v/>
      </c>
    </row>
    <row r="91" ht="15" customHeight="1">
      <c r="A91" t="inlineStr">
        <is>
          <t>A 29721-2024</t>
        </is>
      </c>
      <c r="B91" s="1" t="n">
        <v>45485</v>
      </c>
      <c r="C91" s="1" t="n">
        <v>45824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5.9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HYPERLINK("https://klasma.github.io/Logging_1882/artfynd/A 29721-2024 artfynd.xlsx", "A 29721-2024")</f>
        <v/>
      </c>
      <c r="T91">
        <f>HYPERLINK("https://klasma.github.io/Logging_1882/kartor/A 29721-2024 karta.png", "A 29721-2024")</f>
        <v/>
      </c>
      <c r="U91">
        <f>HYPERLINK("https://klasma.github.io/Logging_1882/knärot/A 29721-2024 karta knärot.png", "A 29721-2024")</f>
        <v/>
      </c>
      <c r="V91">
        <f>HYPERLINK("https://klasma.github.io/Logging_1882/klagomål/A 29721-2024 FSC-klagomål.docx", "A 29721-2024")</f>
        <v/>
      </c>
      <c r="W91">
        <f>HYPERLINK("https://klasma.github.io/Logging_1882/klagomålsmail/A 29721-2024 FSC-klagomål mail.docx", "A 29721-2024")</f>
        <v/>
      </c>
      <c r="X91">
        <f>HYPERLINK("https://klasma.github.io/Logging_1882/tillsyn/A 29721-2024 tillsynsbegäran.docx", "A 29721-2024")</f>
        <v/>
      </c>
      <c r="Y91">
        <f>HYPERLINK("https://klasma.github.io/Logging_1882/tillsynsmail/A 29721-2024 tillsynsbegäran mail.docx", "A 29721-2024")</f>
        <v/>
      </c>
    </row>
    <row r="92" ht="15" customHeight="1">
      <c r="A92" t="inlineStr">
        <is>
          <t>A 32037-2024</t>
        </is>
      </c>
      <c r="B92" s="1" t="n">
        <v>45510</v>
      </c>
      <c r="C92" s="1" t="n">
        <v>45824</v>
      </c>
      <c r="D92" t="inlineStr">
        <is>
          <t>ÖREBRO LÄN</t>
        </is>
      </c>
      <c r="E92" t="inlineStr">
        <is>
          <t>ASKERSUND</t>
        </is>
      </c>
      <c r="G92" t="n">
        <v>8.199999999999999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HYPERLINK("https://klasma.github.io/Logging_1882/artfynd/A 32037-2024 artfynd.xlsx", "A 32037-2024")</f>
        <v/>
      </c>
      <c r="T92">
        <f>HYPERLINK("https://klasma.github.io/Logging_1882/kartor/A 32037-2024 karta.png", "A 32037-2024")</f>
        <v/>
      </c>
      <c r="V92">
        <f>HYPERLINK("https://klasma.github.io/Logging_1882/klagomål/A 32037-2024 FSC-klagomål.docx", "A 32037-2024")</f>
        <v/>
      </c>
      <c r="W92">
        <f>HYPERLINK("https://klasma.github.io/Logging_1882/klagomålsmail/A 32037-2024 FSC-klagomål mail.docx", "A 32037-2024")</f>
        <v/>
      </c>
      <c r="X92">
        <f>HYPERLINK("https://klasma.github.io/Logging_1882/tillsyn/A 32037-2024 tillsynsbegäran.docx", "A 32037-2024")</f>
        <v/>
      </c>
      <c r="Y92">
        <f>HYPERLINK("https://klasma.github.io/Logging_1882/tillsynsmail/A 32037-2024 tillsynsbegäran mail.docx", "A 32037-2024")</f>
        <v/>
      </c>
    </row>
    <row r="93" ht="15" customHeight="1">
      <c r="A93" t="inlineStr">
        <is>
          <t>A 33415-2024</t>
        </is>
      </c>
      <c r="B93" s="1" t="n">
        <v>45519</v>
      </c>
      <c r="C93" s="1" t="n">
        <v>45824</v>
      </c>
      <c r="D93" t="inlineStr">
        <is>
          <t>ÖREBRO LÄN</t>
        </is>
      </c>
      <c r="E93" t="inlineStr">
        <is>
          <t>ASKERSUND</t>
        </is>
      </c>
      <c r="G93" t="n">
        <v>7.7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Rävticka</t>
        </is>
      </c>
      <c r="S93">
        <f>HYPERLINK("https://klasma.github.io/Logging_1882/artfynd/A 33415-2024 artfynd.xlsx", "A 33415-2024")</f>
        <v/>
      </c>
      <c r="T93">
        <f>HYPERLINK("https://klasma.github.io/Logging_1882/kartor/A 33415-2024 karta.png", "A 33415-2024")</f>
        <v/>
      </c>
      <c r="V93">
        <f>HYPERLINK("https://klasma.github.io/Logging_1882/klagomål/A 33415-2024 FSC-klagomål.docx", "A 33415-2024")</f>
        <v/>
      </c>
      <c r="W93">
        <f>HYPERLINK("https://klasma.github.io/Logging_1882/klagomålsmail/A 33415-2024 FSC-klagomål mail.docx", "A 33415-2024")</f>
        <v/>
      </c>
      <c r="X93">
        <f>HYPERLINK("https://klasma.github.io/Logging_1882/tillsyn/A 33415-2024 tillsynsbegäran.docx", "A 33415-2024")</f>
        <v/>
      </c>
      <c r="Y93">
        <f>HYPERLINK("https://klasma.github.io/Logging_1882/tillsynsmail/A 33415-2024 tillsynsbegäran mail.docx", "A 33415-2024")</f>
        <v/>
      </c>
    </row>
    <row r="94" ht="15" customHeight="1">
      <c r="A94" t="inlineStr">
        <is>
          <t>A 34515-2024</t>
        </is>
      </c>
      <c r="B94" s="1" t="n">
        <v>45525</v>
      </c>
      <c r="C94" s="1" t="n">
        <v>45824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Gröngöling</t>
        </is>
      </c>
      <c r="S94">
        <f>HYPERLINK("https://klasma.github.io/Logging_1882/artfynd/A 34515-2024 artfynd.xlsx", "A 34515-2024")</f>
        <v/>
      </c>
      <c r="T94">
        <f>HYPERLINK("https://klasma.github.io/Logging_1882/kartor/A 34515-2024 karta.png", "A 34515-2024")</f>
        <v/>
      </c>
      <c r="V94">
        <f>HYPERLINK("https://klasma.github.io/Logging_1882/klagomål/A 34515-2024 FSC-klagomål.docx", "A 34515-2024")</f>
        <v/>
      </c>
      <c r="W94">
        <f>HYPERLINK("https://klasma.github.io/Logging_1882/klagomålsmail/A 34515-2024 FSC-klagomål mail.docx", "A 34515-2024")</f>
        <v/>
      </c>
      <c r="X94">
        <f>HYPERLINK("https://klasma.github.io/Logging_1882/tillsyn/A 34515-2024 tillsynsbegäran.docx", "A 34515-2024")</f>
        <v/>
      </c>
      <c r="Y94">
        <f>HYPERLINK("https://klasma.github.io/Logging_1882/tillsynsmail/A 34515-2024 tillsynsbegäran mail.docx", "A 34515-2024")</f>
        <v/>
      </c>
      <c r="Z94">
        <f>HYPERLINK("https://klasma.github.io/Logging_1882/fåglar/A 34515-2024 prioriterade fågelarter.docx", "A 34515-2024")</f>
        <v/>
      </c>
    </row>
    <row r="95" ht="15" customHeight="1">
      <c r="A95" t="inlineStr">
        <is>
          <t>A 41135-2024</t>
        </is>
      </c>
      <c r="B95" s="1" t="n">
        <v>45559</v>
      </c>
      <c r="C95" s="1" t="n">
        <v>45824</v>
      </c>
      <c r="D95" t="inlineStr">
        <is>
          <t>ÖREBRO LÄN</t>
        </is>
      </c>
      <c r="E95" t="inlineStr">
        <is>
          <t>ASKERSUND</t>
        </is>
      </c>
      <c r="G95" t="n">
        <v>8.1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HYPERLINK("https://klasma.github.io/Logging_1882/artfynd/A 41135-2024 artfynd.xlsx", "A 41135-2024")</f>
        <v/>
      </c>
      <c r="T95">
        <f>HYPERLINK("https://klasma.github.io/Logging_1882/kartor/A 41135-2024 karta.png", "A 41135-2024")</f>
        <v/>
      </c>
      <c r="V95">
        <f>HYPERLINK("https://klasma.github.io/Logging_1882/klagomål/A 41135-2024 FSC-klagomål.docx", "A 41135-2024")</f>
        <v/>
      </c>
      <c r="W95">
        <f>HYPERLINK("https://klasma.github.io/Logging_1882/klagomålsmail/A 41135-2024 FSC-klagomål mail.docx", "A 41135-2024")</f>
        <v/>
      </c>
      <c r="X95">
        <f>HYPERLINK("https://klasma.github.io/Logging_1882/tillsyn/A 41135-2024 tillsynsbegäran.docx", "A 41135-2024")</f>
        <v/>
      </c>
      <c r="Y95">
        <f>HYPERLINK("https://klasma.github.io/Logging_1882/tillsynsmail/A 41135-2024 tillsynsbegäran mail.docx", "A 41135-2024")</f>
        <v/>
      </c>
    </row>
    <row r="96" ht="15" customHeight="1">
      <c r="A96" t="inlineStr">
        <is>
          <t>A 44888-2024</t>
        </is>
      </c>
      <c r="B96" s="1" t="n">
        <v>45575</v>
      </c>
      <c r="C96" s="1" t="n">
        <v>45824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44888-2024 artfynd.xlsx", "A 44888-2024")</f>
        <v/>
      </c>
      <c r="T96">
        <f>HYPERLINK("https://klasma.github.io/Logging_1882/kartor/A 44888-2024 karta.png", "A 44888-2024")</f>
        <v/>
      </c>
      <c r="V96">
        <f>HYPERLINK("https://klasma.github.io/Logging_1882/klagomål/A 44888-2024 FSC-klagomål.docx", "A 44888-2024")</f>
        <v/>
      </c>
      <c r="W96">
        <f>HYPERLINK("https://klasma.github.io/Logging_1882/klagomålsmail/A 44888-2024 FSC-klagomål mail.docx", "A 44888-2024")</f>
        <v/>
      </c>
      <c r="X96">
        <f>HYPERLINK("https://klasma.github.io/Logging_1882/tillsyn/A 44888-2024 tillsynsbegäran.docx", "A 44888-2024")</f>
        <v/>
      </c>
      <c r="Y96">
        <f>HYPERLINK("https://klasma.github.io/Logging_1882/tillsynsmail/A 44888-2024 tillsynsbegäran mail.docx", "A 44888-2024")</f>
        <v/>
      </c>
    </row>
    <row r="97" ht="15" customHeight="1">
      <c r="A97" t="inlineStr">
        <is>
          <t>A 44891-2024</t>
        </is>
      </c>
      <c r="B97" s="1" t="n">
        <v>45575</v>
      </c>
      <c r="C97" s="1" t="n">
        <v>45824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HYPERLINK("https://klasma.github.io/Logging_1882/artfynd/A 44891-2024 artfynd.xlsx", "A 44891-2024")</f>
        <v/>
      </c>
      <c r="T97">
        <f>HYPERLINK("https://klasma.github.io/Logging_1882/kartor/A 44891-2024 karta.png", "A 44891-2024")</f>
        <v/>
      </c>
      <c r="V97">
        <f>HYPERLINK("https://klasma.github.io/Logging_1882/klagomål/A 44891-2024 FSC-klagomål.docx", "A 44891-2024")</f>
        <v/>
      </c>
      <c r="W97">
        <f>HYPERLINK("https://klasma.github.io/Logging_1882/klagomålsmail/A 44891-2024 FSC-klagomål mail.docx", "A 44891-2024")</f>
        <v/>
      </c>
      <c r="X97">
        <f>HYPERLINK("https://klasma.github.io/Logging_1882/tillsyn/A 44891-2024 tillsynsbegäran.docx", "A 44891-2024")</f>
        <v/>
      </c>
      <c r="Y97">
        <f>HYPERLINK("https://klasma.github.io/Logging_1882/tillsynsmail/A 44891-2024 tillsynsbegäran mail.docx", "A 44891-2024")</f>
        <v/>
      </c>
    </row>
    <row r="98" ht="15" customHeight="1">
      <c r="A98" t="inlineStr">
        <is>
          <t>A 47348-2024</t>
        </is>
      </c>
      <c r="B98" s="1" t="n">
        <v>45587</v>
      </c>
      <c r="C98" s="1" t="n">
        <v>45824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Sexfläckig bastardsvärmare</t>
        </is>
      </c>
      <c r="S98">
        <f>HYPERLINK("https://klasma.github.io/Logging_1882/artfynd/A 47348-2024 artfynd.xlsx", "A 47348-2024")</f>
        <v/>
      </c>
      <c r="T98">
        <f>HYPERLINK("https://klasma.github.io/Logging_1882/kartor/A 47348-2024 karta.png", "A 47348-2024")</f>
        <v/>
      </c>
      <c r="V98">
        <f>HYPERLINK("https://klasma.github.io/Logging_1882/klagomål/A 47348-2024 FSC-klagomål.docx", "A 47348-2024")</f>
        <v/>
      </c>
      <c r="W98">
        <f>HYPERLINK("https://klasma.github.io/Logging_1882/klagomålsmail/A 47348-2024 FSC-klagomål mail.docx", "A 47348-2024")</f>
        <v/>
      </c>
      <c r="X98">
        <f>HYPERLINK("https://klasma.github.io/Logging_1882/tillsyn/A 47348-2024 tillsynsbegäran.docx", "A 47348-2024")</f>
        <v/>
      </c>
      <c r="Y98">
        <f>HYPERLINK("https://klasma.github.io/Logging_1882/tillsynsmail/A 47348-2024 tillsynsbegäran mail.docx", "A 47348-2024")</f>
        <v/>
      </c>
    </row>
    <row r="99" ht="15" customHeight="1">
      <c r="A99" t="inlineStr">
        <is>
          <t>A 51620-2024</t>
        </is>
      </c>
      <c r="B99" s="1" t="n">
        <v>45604</v>
      </c>
      <c r="C99" s="1" t="n">
        <v>45824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6.1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Mosippa</t>
        </is>
      </c>
      <c r="S99">
        <f>HYPERLINK("https://klasma.github.io/Logging_1882/artfynd/A 51620-2024 artfynd.xlsx", "A 51620-2024")</f>
        <v/>
      </c>
      <c r="T99">
        <f>HYPERLINK("https://klasma.github.io/Logging_1882/kartor/A 51620-2024 karta.png", "A 51620-2024")</f>
        <v/>
      </c>
      <c r="V99">
        <f>HYPERLINK("https://klasma.github.io/Logging_1882/klagomål/A 51620-2024 FSC-klagomål.docx", "A 51620-2024")</f>
        <v/>
      </c>
      <c r="W99">
        <f>HYPERLINK("https://klasma.github.io/Logging_1882/klagomålsmail/A 51620-2024 FSC-klagomål mail.docx", "A 51620-2024")</f>
        <v/>
      </c>
      <c r="X99">
        <f>HYPERLINK("https://klasma.github.io/Logging_1882/tillsyn/A 51620-2024 tillsynsbegäran.docx", "A 51620-2024")</f>
        <v/>
      </c>
      <c r="Y99">
        <f>HYPERLINK("https://klasma.github.io/Logging_1882/tillsynsmail/A 51620-2024 tillsynsbegäran mail.docx", "A 51620-2024")</f>
        <v/>
      </c>
    </row>
    <row r="100" ht="15" customHeight="1">
      <c r="A100" t="inlineStr">
        <is>
          <t>A 57427-2024</t>
        </is>
      </c>
      <c r="B100" s="1" t="n">
        <v>45629</v>
      </c>
      <c r="C100" s="1" t="n">
        <v>45824</v>
      </c>
      <c r="D100" t="inlineStr">
        <is>
          <t>ÖREBRO LÄN</t>
        </is>
      </c>
      <c r="E100" t="inlineStr">
        <is>
          <t>ASKERSUND</t>
        </is>
      </c>
      <c r="G100" t="n">
        <v>3.3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HYPERLINK("https://klasma.github.io/Logging_1882/artfynd/A 57427-2024 artfynd.xlsx", "A 57427-2024")</f>
        <v/>
      </c>
      <c r="T100">
        <f>HYPERLINK("https://klasma.github.io/Logging_1882/kartor/A 57427-2024 karta.png", "A 57427-2024")</f>
        <v/>
      </c>
      <c r="V100">
        <f>HYPERLINK("https://klasma.github.io/Logging_1882/klagomål/A 57427-2024 FSC-klagomål.docx", "A 57427-2024")</f>
        <v/>
      </c>
      <c r="W100">
        <f>HYPERLINK("https://klasma.github.io/Logging_1882/klagomålsmail/A 57427-2024 FSC-klagomål mail.docx", "A 57427-2024")</f>
        <v/>
      </c>
      <c r="X100">
        <f>HYPERLINK("https://klasma.github.io/Logging_1882/tillsyn/A 57427-2024 tillsynsbegäran.docx", "A 57427-2024")</f>
        <v/>
      </c>
      <c r="Y100">
        <f>HYPERLINK("https://klasma.github.io/Logging_1882/tillsynsmail/A 57427-2024 tillsynsbegäran mail.docx", "A 57427-2024")</f>
        <v/>
      </c>
    </row>
    <row r="101" ht="15" customHeight="1">
      <c r="A101" t="inlineStr">
        <is>
          <t>A 62084-2024</t>
        </is>
      </c>
      <c r="B101" s="1" t="n">
        <v>45656</v>
      </c>
      <c r="C101" s="1" t="n">
        <v>45824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62084-2024 artfynd.xlsx", "A 62084-2024")</f>
        <v/>
      </c>
      <c r="T101">
        <f>HYPERLINK("https://klasma.github.io/Logging_1882/kartor/A 62084-2024 karta.png", "A 62084-2024")</f>
        <v/>
      </c>
      <c r="V101">
        <f>HYPERLINK("https://klasma.github.io/Logging_1882/klagomål/A 62084-2024 FSC-klagomål.docx", "A 62084-2024")</f>
        <v/>
      </c>
      <c r="W101">
        <f>HYPERLINK("https://klasma.github.io/Logging_1882/klagomålsmail/A 62084-2024 FSC-klagomål mail.docx", "A 62084-2024")</f>
        <v/>
      </c>
      <c r="X101">
        <f>HYPERLINK("https://klasma.github.io/Logging_1882/tillsyn/A 62084-2024 tillsynsbegäran.docx", "A 62084-2024")</f>
        <v/>
      </c>
      <c r="Y101">
        <f>HYPERLINK("https://klasma.github.io/Logging_1882/tillsynsmail/A 62084-2024 tillsynsbegäran mail.docx", "A 62084-2024")</f>
        <v/>
      </c>
    </row>
    <row r="102" ht="15" customHeight="1">
      <c r="A102" t="inlineStr">
        <is>
          <t>A 62086-2024</t>
        </is>
      </c>
      <c r="B102" s="1" t="n">
        <v>45656</v>
      </c>
      <c r="C102" s="1" t="n">
        <v>45824</v>
      </c>
      <c r="D102" t="inlineStr">
        <is>
          <t>ÖREBRO LÄN</t>
        </is>
      </c>
      <c r="E102" t="inlineStr">
        <is>
          <t>ASKERSUND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Ängsvaxskivling</t>
        </is>
      </c>
      <c r="S102">
        <f>HYPERLINK("https://klasma.github.io/Logging_1882/artfynd/A 62086-2024 artfynd.xlsx", "A 62086-2024")</f>
        <v/>
      </c>
      <c r="T102">
        <f>HYPERLINK("https://klasma.github.io/Logging_1882/kartor/A 62086-2024 karta.png", "A 62086-2024")</f>
        <v/>
      </c>
      <c r="V102">
        <f>HYPERLINK("https://klasma.github.io/Logging_1882/klagomål/A 62086-2024 FSC-klagomål.docx", "A 62086-2024")</f>
        <v/>
      </c>
      <c r="W102">
        <f>HYPERLINK("https://klasma.github.io/Logging_1882/klagomålsmail/A 62086-2024 FSC-klagomål mail.docx", "A 62086-2024")</f>
        <v/>
      </c>
      <c r="X102">
        <f>HYPERLINK("https://klasma.github.io/Logging_1882/tillsyn/A 62086-2024 tillsynsbegäran.docx", "A 62086-2024")</f>
        <v/>
      </c>
      <c r="Y102">
        <f>HYPERLINK("https://klasma.github.io/Logging_1882/tillsynsmail/A 62086-2024 tillsynsbegäran mail.docx", "A 62086-2024")</f>
        <v/>
      </c>
    </row>
    <row r="103" ht="15" customHeight="1">
      <c r="A103" t="inlineStr">
        <is>
          <t>A 4683-2025</t>
        </is>
      </c>
      <c r="B103" s="1" t="n">
        <v>45687</v>
      </c>
      <c r="C103" s="1" t="n">
        <v>45824</v>
      </c>
      <c r="D103" t="inlineStr">
        <is>
          <t>ÖREBRO LÄN</t>
        </is>
      </c>
      <c r="E103" t="inlineStr">
        <is>
          <t>ASKERSUND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HYPERLINK("https://klasma.github.io/Logging_1882/artfynd/A 4683-2025 artfynd.xlsx", "A 4683-2025")</f>
        <v/>
      </c>
      <c r="T103">
        <f>HYPERLINK("https://klasma.github.io/Logging_1882/kartor/A 4683-2025 karta.png", "A 4683-2025")</f>
        <v/>
      </c>
      <c r="V103">
        <f>HYPERLINK("https://klasma.github.io/Logging_1882/klagomål/A 4683-2025 FSC-klagomål.docx", "A 4683-2025")</f>
        <v/>
      </c>
      <c r="W103">
        <f>HYPERLINK("https://klasma.github.io/Logging_1882/klagomålsmail/A 4683-2025 FSC-klagomål mail.docx", "A 4683-2025")</f>
        <v/>
      </c>
      <c r="X103">
        <f>HYPERLINK("https://klasma.github.io/Logging_1882/tillsyn/A 4683-2025 tillsynsbegäran.docx", "A 4683-2025")</f>
        <v/>
      </c>
      <c r="Y103">
        <f>HYPERLINK("https://klasma.github.io/Logging_1882/tillsynsmail/A 4683-2025 tillsynsbegäran mail.docx", "A 4683-2025")</f>
        <v/>
      </c>
    </row>
    <row r="104" ht="15" customHeight="1">
      <c r="A104" t="inlineStr">
        <is>
          <t>A 7845-2025</t>
        </is>
      </c>
      <c r="B104" s="1" t="n">
        <v>45706</v>
      </c>
      <c r="C104" s="1" t="n">
        <v>45824</v>
      </c>
      <c r="D104" t="inlineStr">
        <is>
          <t>ÖREBRO LÄN</t>
        </is>
      </c>
      <c r="E104" t="inlineStr">
        <is>
          <t>ASKERSUND</t>
        </is>
      </c>
      <c r="F104" t="inlineStr">
        <is>
          <t>Kyrkan</t>
        </is>
      </c>
      <c r="G104" t="n">
        <v>6.1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HYPERLINK("https://klasma.github.io/Logging_1882/artfynd/A 7845-2025 artfynd.xlsx", "A 7845-2025")</f>
        <v/>
      </c>
      <c r="T104">
        <f>HYPERLINK("https://klasma.github.io/Logging_1882/kartor/A 7845-2025 karta.png", "A 7845-2025")</f>
        <v/>
      </c>
      <c r="V104">
        <f>HYPERLINK("https://klasma.github.io/Logging_1882/klagomål/A 7845-2025 FSC-klagomål.docx", "A 7845-2025")</f>
        <v/>
      </c>
      <c r="W104">
        <f>HYPERLINK("https://klasma.github.io/Logging_1882/klagomålsmail/A 7845-2025 FSC-klagomål mail.docx", "A 7845-2025")</f>
        <v/>
      </c>
      <c r="X104">
        <f>HYPERLINK("https://klasma.github.io/Logging_1882/tillsyn/A 7845-2025 tillsynsbegäran.docx", "A 7845-2025")</f>
        <v/>
      </c>
      <c r="Y104">
        <f>HYPERLINK("https://klasma.github.io/Logging_1882/tillsynsmail/A 7845-2025 tillsynsbegäran mail.docx", "A 7845-2025")</f>
        <v/>
      </c>
    </row>
    <row r="105" ht="15" customHeight="1">
      <c r="A105" t="inlineStr">
        <is>
          <t>A 12793-2025</t>
        </is>
      </c>
      <c r="B105" s="1" t="n">
        <v>45733</v>
      </c>
      <c r="C105" s="1" t="n">
        <v>45824</v>
      </c>
      <c r="D105" t="inlineStr">
        <is>
          <t>ÖREBRO LÄN</t>
        </is>
      </c>
      <c r="E105" t="inlineStr">
        <is>
          <t>ASKERSUND</t>
        </is>
      </c>
      <c r="G105" t="n">
        <v>8.5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HYPERLINK("https://klasma.github.io/Logging_181882/artfynd/A 12793-2025 artfynd.xlsx", "A 12793-2025")</f>
        <v/>
      </c>
      <c r="T105">
        <f>HYPERLINK("https://klasma.github.io/Logging_181882/kartor/A 12793-2025 karta.png", "A 12793-2025")</f>
        <v/>
      </c>
      <c r="V105">
        <f>HYPERLINK("https://klasma.github.io/Logging_181882/klagomål/A 12793-2025 FSC-klagomål.docx", "A 12793-2025")</f>
        <v/>
      </c>
      <c r="W105">
        <f>HYPERLINK("https://klasma.github.io/Logging_181882/klagomålsmail/A 12793-2025 FSC-klagomål mail.docx", "A 12793-2025")</f>
        <v/>
      </c>
      <c r="X105">
        <f>HYPERLINK("https://klasma.github.io/Logging_181882/tillsyn/A 12793-2025 tillsynsbegäran.docx", "A 12793-2025")</f>
        <v/>
      </c>
      <c r="Y105">
        <f>HYPERLINK("https://klasma.github.io/Logging_181882/tillsynsmail/A 12793-2025 tillsynsbegäran mail.docx", "A 12793-2025")</f>
        <v/>
      </c>
      <c r="Z105">
        <f>HYPERLINK("https://klasma.github.io/Logging_181882/fåglar/A 12793-2025 prioriterade fågelarter.docx", "A 12793-2025")</f>
        <v/>
      </c>
    </row>
    <row r="106" ht="15" customHeight="1">
      <c r="A106" t="inlineStr">
        <is>
          <t>A 13408-2025</t>
        </is>
      </c>
      <c r="B106" s="1" t="n">
        <v>45735</v>
      </c>
      <c r="C106" s="1" t="n">
        <v>45824</v>
      </c>
      <c r="D106" t="inlineStr">
        <is>
          <t>ÖREBRO LÄN</t>
        </is>
      </c>
      <c r="E106" t="inlineStr">
        <is>
          <t>ASKERSUND</t>
        </is>
      </c>
      <c r="G106" t="n">
        <v>13.3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HYPERLINK("https://klasma.github.io/Logging_181882/artfynd/A 13408-2025 artfynd.xlsx", "A 13408-2025")</f>
        <v/>
      </c>
      <c r="T106">
        <f>HYPERLINK("https://klasma.github.io/Logging_181882/kartor/A 13408-2025 karta.png", "A 13408-2025")</f>
        <v/>
      </c>
      <c r="V106">
        <f>HYPERLINK("https://klasma.github.io/Logging_181882/klagomål/A 13408-2025 FSC-klagomål.docx", "A 13408-2025")</f>
        <v/>
      </c>
      <c r="W106">
        <f>HYPERLINK("https://klasma.github.io/Logging_181882/klagomålsmail/A 13408-2025 FSC-klagomål mail.docx", "A 13408-2025")</f>
        <v/>
      </c>
      <c r="X106">
        <f>HYPERLINK("https://klasma.github.io/Logging_181882/tillsyn/A 13408-2025 tillsynsbegäran.docx", "A 13408-2025")</f>
        <v/>
      </c>
      <c r="Y106">
        <f>HYPERLINK("https://klasma.github.io/Logging_181882/tillsynsmail/A 13408-2025 tillsynsbegäran mail.docx", "A 13408-2025")</f>
        <v/>
      </c>
    </row>
    <row r="107" ht="15" customHeight="1">
      <c r="A107" t="inlineStr">
        <is>
          <t>A 17995-2019</t>
        </is>
      </c>
      <c r="B107" s="1" t="n">
        <v>43556</v>
      </c>
      <c r="C107" s="1" t="n">
        <v>45824</v>
      </c>
      <c r="D107" t="inlineStr">
        <is>
          <t>ÖREBRO LÄN</t>
        </is>
      </c>
      <c r="E107" t="inlineStr">
        <is>
          <t>ASKERSUND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18193-2019</t>
        </is>
      </c>
      <c r="B108" s="1" t="n">
        <v>43558</v>
      </c>
      <c r="C108" s="1" t="n">
        <v>45824</v>
      </c>
      <c r="D108" t="inlineStr">
        <is>
          <t>ÖREBRO LÄN</t>
        </is>
      </c>
      <c r="E108" t="inlineStr">
        <is>
          <t>ASKERSUND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18702-2019</t>
        </is>
      </c>
      <c r="B109" s="1" t="n">
        <v>43558</v>
      </c>
      <c r="C109" s="1" t="n">
        <v>45824</v>
      </c>
      <c r="D109" t="inlineStr">
        <is>
          <t>ÖREBRO LÄN</t>
        </is>
      </c>
      <c r="E109" t="inlineStr">
        <is>
          <t>ASKERSUND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20120-2019</t>
        </is>
      </c>
      <c r="B110" s="1" t="n">
        <v>43570</v>
      </c>
      <c r="C110" s="1" t="n">
        <v>45824</v>
      </c>
      <c r="D110" t="inlineStr">
        <is>
          <t>ÖREBRO LÄN</t>
        </is>
      </c>
      <c r="E110" t="inlineStr">
        <is>
          <t>ASKERSUND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22634-2019</t>
        </is>
      </c>
      <c r="B111" s="1" t="n">
        <v>43588</v>
      </c>
      <c r="C111" s="1" t="n">
        <v>45824</v>
      </c>
      <c r="D111" t="inlineStr">
        <is>
          <t>ÖREBRO LÄN</t>
        </is>
      </c>
      <c r="E111" t="inlineStr">
        <is>
          <t>ASKERSUND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23132-2019</t>
        </is>
      </c>
      <c r="B112" s="1" t="n">
        <v>43592</v>
      </c>
      <c r="C112" s="1" t="n">
        <v>45824</v>
      </c>
      <c r="D112" t="inlineStr">
        <is>
          <t>ÖREBRO LÄN</t>
        </is>
      </c>
      <c r="E112" t="inlineStr">
        <is>
          <t>ASKERSUND</t>
        </is>
      </c>
      <c r="F112" t="inlineStr">
        <is>
          <t>Kyrkan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23504-2019</t>
        </is>
      </c>
      <c r="B113" s="1" t="n">
        <v>43594</v>
      </c>
      <c r="C113" s="1" t="n">
        <v>45824</v>
      </c>
      <c r="D113" t="inlineStr">
        <is>
          <t>ÖREBRO LÄN</t>
        </is>
      </c>
      <c r="E113" t="inlineStr">
        <is>
          <t>ASKERSUND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24112-2019</t>
        </is>
      </c>
      <c r="B114" s="1" t="n">
        <v>43598</v>
      </c>
      <c r="C114" s="1" t="n">
        <v>45824</v>
      </c>
      <c r="D114" t="inlineStr">
        <is>
          <t>ÖREBRO LÄN</t>
        </is>
      </c>
      <c r="E114" t="inlineStr">
        <is>
          <t>ASKERSUND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25825-2019</t>
        </is>
      </c>
      <c r="B115" s="1" t="n">
        <v>43608</v>
      </c>
      <c r="C115" s="1" t="n">
        <v>45824</v>
      </c>
      <c r="D115" t="inlineStr">
        <is>
          <t>ÖREBRO LÄN</t>
        </is>
      </c>
      <c r="E115" t="inlineStr">
        <is>
          <t>ASKERSUND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35540-2019</t>
        </is>
      </c>
      <c r="B116" s="1" t="n">
        <v>43655</v>
      </c>
      <c r="C116" s="1" t="n">
        <v>45824</v>
      </c>
      <c r="D116" t="inlineStr">
        <is>
          <t>ÖREBRO LÄN</t>
        </is>
      </c>
      <c r="E116" t="inlineStr">
        <is>
          <t>ASKERSUND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34157-2019</t>
        </is>
      </c>
      <c r="B117" s="1" t="n">
        <v>43655</v>
      </c>
      <c r="C117" s="1" t="n">
        <v>45824</v>
      </c>
      <c r="D117" t="inlineStr">
        <is>
          <t>ÖREBRO LÄN</t>
        </is>
      </c>
      <c r="E117" t="inlineStr">
        <is>
          <t>ASKERSUND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35544-2019</t>
        </is>
      </c>
      <c r="B118" s="1" t="n">
        <v>43655</v>
      </c>
      <c r="C118" s="1" t="n">
        <v>45824</v>
      </c>
      <c r="D118" t="inlineStr">
        <is>
          <t>ÖREBRO LÄN</t>
        </is>
      </c>
      <c r="E118" t="inlineStr">
        <is>
          <t>ASKERSUND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35536-2019</t>
        </is>
      </c>
      <c r="B119" s="1" t="n">
        <v>43655</v>
      </c>
      <c r="C119" s="1" t="n">
        <v>45824</v>
      </c>
      <c r="D119" t="inlineStr">
        <is>
          <t>ÖREBRO LÄN</t>
        </is>
      </c>
      <c r="E119" t="inlineStr">
        <is>
          <t>ASKERSUND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36752-2019</t>
        </is>
      </c>
      <c r="B120" s="1" t="n">
        <v>43672</v>
      </c>
      <c r="C120" s="1" t="n">
        <v>45824</v>
      </c>
      <c r="D120" t="inlineStr">
        <is>
          <t>ÖREBRO LÄN</t>
        </is>
      </c>
      <c r="E120" t="inlineStr">
        <is>
          <t>ASKERSUND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37066-2019</t>
        </is>
      </c>
      <c r="B121" s="1" t="n">
        <v>43676</v>
      </c>
      <c r="C121" s="1" t="n">
        <v>45824</v>
      </c>
      <c r="D121" t="inlineStr">
        <is>
          <t>ÖREBRO LÄN</t>
        </is>
      </c>
      <c r="E121" t="inlineStr">
        <is>
          <t>ASKERSUND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37789-2019</t>
        </is>
      </c>
      <c r="B122" s="1" t="n">
        <v>43682</v>
      </c>
      <c r="C122" s="1" t="n">
        <v>45824</v>
      </c>
      <c r="D122" t="inlineStr">
        <is>
          <t>ÖREBRO LÄN</t>
        </is>
      </c>
      <c r="E122" t="inlineStr">
        <is>
          <t>ASKERSUND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37840-2019</t>
        </is>
      </c>
      <c r="B123" s="1" t="n">
        <v>43682</v>
      </c>
      <c r="C123" s="1" t="n">
        <v>45824</v>
      </c>
      <c r="D123" t="inlineStr">
        <is>
          <t>ÖREBRO LÄN</t>
        </is>
      </c>
      <c r="E123" t="inlineStr">
        <is>
          <t>ASKERSUND</t>
        </is>
      </c>
      <c r="G123" t="n">
        <v>16.2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37794-2019</t>
        </is>
      </c>
      <c r="B124" s="1" t="n">
        <v>43682</v>
      </c>
      <c r="C124" s="1" t="n">
        <v>45824</v>
      </c>
      <c r="D124" t="inlineStr">
        <is>
          <t>ÖREBRO LÄN</t>
        </is>
      </c>
      <c r="E124" t="inlineStr">
        <is>
          <t>ASKERSUND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38246-2019</t>
        </is>
      </c>
      <c r="B125" s="1" t="n">
        <v>43684</v>
      </c>
      <c r="C125" s="1" t="n">
        <v>45824</v>
      </c>
      <c r="D125" t="inlineStr">
        <is>
          <t>ÖREBRO LÄN</t>
        </is>
      </c>
      <c r="E125" t="inlineStr">
        <is>
          <t>ASKERSUND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38257-2019</t>
        </is>
      </c>
      <c r="B126" s="1" t="n">
        <v>43684</v>
      </c>
      <c r="C126" s="1" t="n">
        <v>45824</v>
      </c>
      <c r="D126" t="inlineStr">
        <is>
          <t>ÖREBRO LÄN</t>
        </is>
      </c>
      <c r="E126" t="inlineStr">
        <is>
          <t>ASKERSUND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39186-2019</t>
        </is>
      </c>
      <c r="B127" s="1" t="n">
        <v>43690</v>
      </c>
      <c r="C127" s="1" t="n">
        <v>45824</v>
      </c>
      <c r="D127" t="inlineStr">
        <is>
          <t>ÖREBRO LÄN</t>
        </is>
      </c>
      <c r="E127" t="inlineStr">
        <is>
          <t>ASKERSUND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39520-2019</t>
        </is>
      </c>
      <c r="B128" s="1" t="n">
        <v>43691</v>
      </c>
      <c r="C128" s="1" t="n">
        <v>45824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39517-2019</t>
        </is>
      </c>
      <c r="B129" s="1" t="n">
        <v>43691</v>
      </c>
      <c r="C129" s="1" t="n">
        <v>45824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39516-2019</t>
        </is>
      </c>
      <c r="B130" s="1" t="n">
        <v>43691</v>
      </c>
      <c r="C130" s="1" t="n">
        <v>45824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40161-2019</t>
        </is>
      </c>
      <c r="B131" s="1" t="n">
        <v>43693</v>
      </c>
      <c r="C131" s="1" t="n">
        <v>45824</v>
      </c>
      <c r="D131" t="inlineStr">
        <is>
          <t>ÖREBRO LÄN</t>
        </is>
      </c>
      <c r="E131" t="inlineStr">
        <is>
          <t>ASKERSUND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40155-2019</t>
        </is>
      </c>
      <c r="B132" s="1" t="n">
        <v>43693</v>
      </c>
      <c r="C132" s="1" t="n">
        <v>45824</v>
      </c>
      <c r="D132" t="inlineStr">
        <is>
          <t>ÖREBRO LÄN</t>
        </is>
      </c>
      <c r="E132" t="inlineStr">
        <is>
          <t>ASKERSUND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40580-2019</t>
        </is>
      </c>
      <c r="B133" s="1" t="n">
        <v>43696</v>
      </c>
      <c r="C133" s="1" t="n">
        <v>45824</v>
      </c>
      <c r="D133" t="inlineStr">
        <is>
          <t>ÖREBRO LÄN</t>
        </is>
      </c>
      <c r="E133" t="inlineStr">
        <is>
          <t>ASKERSUND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40579-2019</t>
        </is>
      </c>
      <c r="B134" s="1" t="n">
        <v>43696</v>
      </c>
      <c r="C134" s="1" t="n">
        <v>45824</v>
      </c>
      <c r="D134" t="inlineStr">
        <is>
          <t>ÖREBRO LÄN</t>
        </is>
      </c>
      <c r="E134" t="inlineStr">
        <is>
          <t>ASKERSUND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40968-2019</t>
        </is>
      </c>
      <c r="B135" s="1" t="n">
        <v>43697</v>
      </c>
      <c r="C135" s="1" t="n">
        <v>45824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41159-2019</t>
        </is>
      </c>
      <c r="B136" s="1" t="n">
        <v>43698</v>
      </c>
      <c r="C136" s="1" t="n">
        <v>45824</v>
      </c>
      <c r="D136" t="inlineStr">
        <is>
          <t>ÖREBRO LÄN</t>
        </is>
      </c>
      <c r="E136" t="inlineStr">
        <is>
          <t>ASKERSUND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41857-2019</t>
        </is>
      </c>
      <c r="B137" s="1" t="n">
        <v>43700</v>
      </c>
      <c r="C137" s="1" t="n">
        <v>45824</v>
      </c>
      <c r="D137" t="inlineStr">
        <is>
          <t>ÖREBRO LÄN</t>
        </is>
      </c>
      <c r="E137" t="inlineStr">
        <is>
          <t>ASKERSUND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43257-2019</t>
        </is>
      </c>
      <c r="B138" s="1" t="n">
        <v>43706</v>
      </c>
      <c r="C138" s="1" t="n">
        <v>45824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43266-2019</t>
        </is>
      </c>
      <c r="B139" s="1" t="n">
        <v>43706</v>
      </c>
      <c r="C139" s="1" t="n">
        <v>45824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43263-2019</t>
        </is>
      </c>
      <c r="B140" s="1" t="n">
        <v>43706</v>
      </c>
      <c r="C140" s="1" t="n">
        <v>45824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43326-2019</t>
        </is>
      </c>
      <c r="B141" s="1" t="n">
        <v>43706</v>
      </c>
      <c r="C141" s="1" t="n">
        <v>45824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43342-2019</t>
        </is>
      </c>
      <c r="B142" s="1" t="n">
        <v>43706</v>
      </c>
      <c r="C142" s="1" t="n">
        <v>45824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43420-2019</t>
        </is>
      </c>
      <c r="B143" s="1" t="n">
        <v>43706</v>
      </c>
      <c r="C143" s="1" t="n">
        <v>45824</v>
      </c>
      <c r="D143" t="inlineStr">
        <is>
          <t>ÖREBRO LÄN</t>
        </is>
      </c>
      <c r="E143" t="inlineStr">
        <is>
          <t>ASKERSUND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43345-2019</t>
        </is>
      </c>
      <c r="B144" s="1" t="n">
        <v>43706</v>
      </c>
      <c r="C144" s="1" t="n">
        <v>45824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43268-2019</t>
        </is>
      </c>
      <c r="B145" s="1" t="n">
        <v>43706</v>
      </c>
      <c r="C145" s="1" t="n">
        <v>45824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43303-2019</t>
        </is>
      </c>
      <c r="B146" s="1" t="n">
        <v>43706</v>
      </c>
      <c r="C146" s="1" t="n">
        <v>45824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43338-2019</t>
        </is>
      </c>
      <c r="B147" s="1" t="n">
        <v>43706</v>
      </c>
      <c r="C147" s="1" t="n">
        <v>45824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43316-2019</t>
        </is>
      </c>
      <c r="B148" s="1" t="n">
        <v>43706</v>
      </c>
      <c r="C148" s="1" t="n">
        <v>45824</v>
      </c>
      <c r="D148" t="inlineStr">
        <is>
          <t>ÖREBRO LÄN</t>
        </is>
      </c>
      <c r="E148" t="inlineStr">
        <is>
          <t>ASKERSUND</t>
        </is>
      </c>
      <c r="F148" t="inlineStr">
        <is>
          <t>Övriga Aktiebolag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43820-2019</t>
        </is>
      </c>
      <c r="B149" s="1" t="n">
        <v>43707</v>
      </c>
      <c r="C149" s="1" t="n">
        <v>45824</v>
      </c>
      <c r="D149" t="inlineStr">
        <is>
          <t>ÖREBRO LÄN</t>
        </is>
      </c>
      <c r="E149" t="inlineStr">
        <is>
          <t>ASKERSUND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44431-2019</t>
        </is>
      </c>
      <c r="B150" s="1" t="n">
        <v>43711</v>
      </c>
      <c r="C150" s="1" t="n">
        <v>45824</v>
      </c>
      <c r="D150" t="inlineStr">
        <is>
          <t>ÖREBRO LÄN</t>
        </is>
      </c>
      <c r="E150" t="inlineStr">
        <is>
          <t>ASKERSUND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44655-2019</t>
        </is>
      </c>
      <c r="B151" s="1" t="n">
        <v>43712</v>
      </c>
      <c r="C151" s="1" t="n">
        <v>45824</v>
      </c>
      <c r="D151" t="inlineStr">
        <is>
          <t>ÖREBRO LÄN</t>
        </is>
      </c>
      <c r="E151" t="inlineStr">
        <is>
          <t>ASKERSUND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46932-2019</t>
        </is>
      </c>
      <c r="B152" s="1" t="n">
        <v>43720</v>
      </c>
      <c r="C152" s="1" t="n">
        <v>45824</v>
      </c>
      <c r="D152" t="inlineStr">
        <is>
          <t>ÖREBRO LÄN</t>
        </is>
      </c>
      <c r="E152" t="inlineStr">
        <is>
          <t>ASKERSUND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47786-2019</t>
        </is>
      </c>
      <c r="B153" s="1" t="n">
        <v>43724</v>
      </c>
      <c r="C153" s="1" t="n">
        <v>45824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48995-2019</t>
        </is>
      </c>
      <c r="B154" s="1" t="n">
        <v>43730</v>
      </c>
      <c r="C154" s="1" t="n">
        <v>45824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49330-2019</t>
        </is>
      </c>
      <c r="B155" s="1" t="n">
        <v>43731</v>
      </c>
      <c r="C155" s="1" t="n">
        <v>45824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49724-2019</t>
        </is>
      </c>
      <c r="B156" s="1" t="n">
        <v>43733</v>
      </c>
      <c r="C156" s="1" t="n">
        <v>45824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50527-2019</t>
        </is>
      </c>
      <c r="B157" s="1" t="n">
        <v>43735</v>
      </c>
      <c r="C157" s="1" t="n">
        <v>45824</v>
      </c>
      <c r="D157" t="inlineStr">
        <is>
          <t>ÖREBRO LÄN</t>
        </is>
      </c>
      <c r="E157" t="inlineStr">
        <is>
          <t>ASKERSUND</t>
        </is>
      </c>
      <c r="F157" t="inlineStr">
        <is>
          <t>Kommuner</t>
        </is>
      </c>
      <c r="G157" t="n">
        <v>14.2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52760-2019</t>
        </is>
      </c>
      <c r="B158" s="1" t="n">
        <v>43739</v>
      </c>
      <c r="C158" s="1" t="n">
        <v>45824</v>
      </c>
      <c r="D158" t="inlineStr">
        <is>
          <t>ÖREBRO LÄN</t>
        </is>
      </c>
      <c r="E158" t="inlineStr">
        <is>
          <t>ASKERSUND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51781-2019</t>
        </is>
      </c>
      <c r="B159" s="1" t="n">
        <v>43741</v>
      </c>
      <c r="C159" s="1" t="n">
        <v>45824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52804-2019</t>
        </is>
      </c>
      <c r="B160" s="1" t="n">
        <v>43746</v>
      </c>
      <c r="C160" s="1" t="n">
        <v>45824</v>
      </c>
      <c r="D160" t="inlineStr">
        <is>
          <t>ÖREBRO LÄN</t>
        </is>
      </c>
      <c r="E160" t="inlineStr">
        <is>
          <t>ASKERSUND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53382-2019</t>
        </is>
      </c>
      <c r="B161" s="1" t="n">
        <v>43748</v>
      </c>
      <c r="C161" s="1" t="n">
        <v>45824</v>
      </c>
      <c r="D161" t="inlineStr">
        <is>
          <t>ÖREBRO LÄN</t>
        </is>
      </c>
      <c r="E161" t="inlineStr">
        <is>
          <t>ASKERSUND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53723-2019</t>
        </is>
      </c>
      <c r="B162" s="1" t="n">
        <v>43749</v>
      </c>
      <c r="C162" s="1" t="n">
        <v>45824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54886-2019</t>
        </is>
      </c>
      <c r="B163" s="1" t="n">
        <v>43749</v>
      </c>
      <c r="C163" s="1" t="n">
        <v>45824</v>
      </c>
      <c r="D163" t="inlineStr">
        <is>
          <t>ÖREBRO LÄN</t>
        </is>
      </c>
      <c r="E163" t="inlineStr">
        <is>
          <t>ASKERSUND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54710-2019</t>
        </is>
      </c>
      <c r="B164" s="1" t="n">
        <v>43755</v>
      </c>
      <c r="C164" s="1" t="n">
        <v>45824</v>
      </c>
      <c r="D164" t="inlineStr">
        <is>
          <t>ÖREBRO LÄN</t>
        </is>
      </c>
      <c r="E164" t="inlineStr">
        <is>
          <t>ASKERSUND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55384-2019</t>
        </is>
      </c>
      <c r="B165" s="1" t="n">
        <v>43755</v>
      </c>
      <c r="C165" s="1" t="n">
        <v>45824</v>
      </c>
      <c r="D165" t="inlineStr">
        <is>
          <t>ÖREBRO LÄN</t>
        </is>
      </c>
      <c r="E165" t="inlineStr">
        <is>
          <t>ASKERSUND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55383-2019</t>
        </is>
      </c>
      <c r="B166" s="1" t="n">
        <v>43755</v>
      </c>
      <c r="C166" s="1" t="n">
        <v>45824</v>
      </c>
      <c r="D166" t="inlineStr">
        <is>
          <t>ÖREBRO LÄN</t>
        </is>
      </c>
      <c r="E166" t="inlineStr">
        <is>
          <t>ASKERSUND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55060-2019</t>
        </is>
      </c>
      <c r="B167" s="1" t="n">
        <v>43756</v>
      </c>
      <c r="C167" s="1" t="n">
        <v>45824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55244-2019</t>
        </is>
      </c>
      <c r="B168" s="1" t="n">
        <v>43756</v>
      </c>
      <c r="C168" s="1" t="n">
        <v>45824</v>
      </c>
      <c r="D168" t="inlineStr">
        <is>
          <t>ÖREBRO LÄN</t>
        </is>
      </c>
      <c r="E168" t="inlineStr">
        <is>
          <t>ASKERSUND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55753-2019</t>
        </is>
      </c>
      <c r="B169" s="1" t="n">
        <v>43759</v>
      </c>
      <c r="C169" s="1" t="n">
        <v>45824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56647-2019</t>
        </is>
      </c>
      <c r="B170" s="1" t="n">
        <v>43763</v>
      </c>
      <c r="C170" s="1" t="n">
        <v>45824</v>
      </c>
      <c r="D170" t="inlineStr">
        <is>
          <t>ÖREBRO LÄN</t>
        </is>
      </c>
      <c r="E170" t="inlineStr">
        <is>
          <t>ASKERSUND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57584-2019</t>
        </is>
      </c>
      <c r="B171" s="1" t="n">
        <v>43768</v>
      </c>
      <c r="C171" s="1" t="n">
        <v>45824</v>
      </c>
      <c r="D171" t="inlineStr">
        <is>
          <t>ÖREBRO LÄN</t>
        </is>
      </c>
      <c r="E171" t="inlineStr">
        <is>
          <t>ASKERSUND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58621-2019</t>
        </is>
      </c>
      <c r="B172" s="1" t="n">
        <v>43773</v>
      </c>
      <c r="C172" s="1" t="n">
        <v>45824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58623-2019</t>
        </is>
      </c>
      <c r="B173" s="1" t="n">
        <v>43773</v>
      </c>
      <c r="C173" s="1" t="n">
        <v>45824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59012-2019</t>
        </is>
      </c>
      <c r="B174" s="1" t="n">
        <v>43774</v>
      </c>
      <c r="C174" s="1" t="n">
        <v>45824</v>
      </c>
      <c r="D174" t="inlineStr">
        <is>
          <t>ÖREBRO LÄN</t>
        </is>
      </c>
      <c r="E174" t="inlineStr">
        <is>
          <t>ASKERSUND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59356-2019</t>
        </is>
      </c>
      <c r="B175" s="1" t="n">
        <v>43775</v>
      </c>
      <c r="C175" s="1" t="n">
        <v>45824</v>
      </c>
      <c r="D175" t="inlineStr">
        <is>
          <t>ÖREBRO LÄN</t>
        </is>
      </c>
      <c r="E175" t="inlineStr">
        <is>
          <t>ASKERSUND</t>
        </is>
      </c>
      <c r="F175" t="inlineStr">
        <is>
          <t>Kommuner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60183-2019</t>
        </is>
      </c>
      <c r="B176" s="1" t="n">
        <v>43780</v>
      </c>
      <c r="C176" s="1" t="n">
        <v>45824</v>
      </c>
      <c r="D176" t="inlineStr">
        <is>
          <t>ÖREBRO LÄN</t>
        </is>
      </c>
      <c r="E176" t="inlineStr">
        <is>
          <t>ASKERSUND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60435-2019</t>
        </is>
      </c>
      <c r="B177" s="1" t="n">
        <v>43780</v>
      </c>
      <c r="C177" s="1" t="n">
        <v>45824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61639-2019</t>
        </is>
      </c>
      <c r="B178" s="1" t="n">
        <v>43784</v>
      </c>
      <c r="C178" s="1" t="n">
        <v>45824</v>
      </c>
      <c r="D178" t="inlineStr">
        <is>
          <t>ÖREBRO LÄN</t>
        </is>
      </c>
      <c r="E178" t="inlineStr">
        <is>
          <t>ASKERSUND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62012-2019</t>
        </is>
      </c>
      <c r="B179" s="1" t="n">
        <v>43787</v>
      </c>
      <c r="C179" s="1" t="n">
        <v>45824</v>
      </c>
      <c r="D179" t="inlineStr">
        <is>
          <t>ÖREBRO LÄN</t>
        </is>
      </c>
      <c r="E179" t="inlineStr">
        <is>
          <t>ASKERSUND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62102-2019</t>
        </is>
      </c>
      <c r="B180" s="1" t="n">
        <v>43787</v>
      </c>
      <c r="C180" s="1" t="n">
        <v>45824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62789-2019</t>
        </is>
      </c>
      <c r="B181" s="1" t="n">
        <v>43790</v>
      </c>
      <c r="C181" s="1" t="n">
        <v>45824</v>
      </c>
      <c r="D181" t="inlineStr">
        <is>
          <t>ÖREBRO LÄN</t>
        </is>
      </c>
      <c r="E181" t="inlineStr">
        <is>
          <t>ASKERSUND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62770-2019</t>
        </is>
      </c>
      <c r="B182" s="1" t="n">
        <v>43790</v>
      </c>
      <c r="C182" s="1" t="n">
        <v>45824</v>
      </c>
      <c r="D182" t="inlineStr">
        <is>
          <t>ÖREBRO LÄN</t>
        </is>
      </c>
      <c r="E182" t="inlineStr">
        <is>
          <t>ASKERSUND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63502-2019</t>
        </is>
      </c>
      <c r="B183" s="1" t="n">
        <v>43794</v>
      </c>
      <c r="C183" s="1" t="n">
        <v>45824</v>
      </c>
      <c r="D183" t="inlineStr">
        <is>
          <t>ÖREBRO LÄN</t>
        </is>
      </c>
      <c r="E183" t="inlineStr">
        <is>
          <t>ASKERSUND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63499-2019</t>
        </is>
      </c>
      <c r="B184" s="1" t="n">
        <v>43794</v>
      </c>
      <c r="C184" s="1" t="n">
        <v>45824</v>
      </c>
      <c r="D184" t="inlineStr">
        <is>
          <t>ÖREBRO LÄN</t>
        </is>
      </c>
      <c r="E184" t="inlineStr">
        <is>
          <t>ASKERSUND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64917-2019</t>
        </is>
      </c>
      <c r="B185" s="1" t="n">
        <v>43801</v>
      </c>
      <c r="C185" s="1" t="n">
        <v>45824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64883-2019</t>
        </is>
      </c>
      <c r="B186" s="1" t="n">
        <v>43801</v>
      </c>
      <c r="C186" s="1" t="n">
        <v>45824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65486-2019</t>
        </is>
      </c>
      <c r="B187" s="1" t="n">
        <v>43803</v>
      </c>
      <c r="C187" s="1" t="n">
        <v>45824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65488-2019</t>
        </is>
      </c>
      <c r="B188" s="1" t="n">
        <v>43803</v>
      </c>
      <c r="C188" s="1" t="n">
        <v>45824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67029-2019</t>
        </is>
      </c>
      <c r="B189" s="1" t="n">
        <v>43811</v>
      </c>
      <c r="C189" s="1" t="n">
        <v>45824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1012-2020</t>
        </is>
      </c>
      <c r="B190" s="1" t="n">
        <v>43839</v>
      </c>
      <c r="C190" s="1" t="n">
        <v>45824</v>
      </c>
      <c r="D190" t="inlineStr">
        <is>
          <t>ÖREBRO LÄN</t>
        </is>
      </c>
      <c r="E190" t="inlineStr">
        <is>
          <t>ASKERSUND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1174-2020</t>
        </is>
      </c>
      <c r="B191" s="1" t="n">
        <v>43840</v>
      </c>
      <c r="C191" s="1" t="n">
        <v>45824</v>
      </c>
      <c r="D191" t="inlineStr">
        <is>
          <t>ÖREBRO LÄN</t>
        </is>
      </c>
      <c r="E191" t="inlineStr">
        <is>
          <t>ASKERSUND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3154-2020</t>
        </is>
      </c>
      <c r="B192" s="1" t="n">
        <v>43843</v>
      </c>
      <c r="C192" s="1" t="n">
        <v>45824</v>
      </c>
      <c r="D192" t="inlineStr">
        <is>
          <t>ÖREBRO LÄN</t>
        </is>
      </c>
      <c r="E192" t="inlineStr">
        <is>
          <t>ASKERSUND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1651-2020</t>
        </is>
      </c>
      <c r="B193" s="1" t="n">
        <v>43844</v>
      </c>
      <c r="C193" s="1" t="n">
        <v>45824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2784-2020</t>
        </is>
      </c>
      <c r="B194" s="1" t="n">
        <v>43850</v>
      </c>
      <c r="C194" s="1" t="n">
        <v>45824</v>
      </c>
      <c r="D194" t="inlineStr">
        <is>
          <t>ÖREBRO LÄN</t>
        </is>
      </c>
      <c r="E194" t="inlineStr">
        <is>
          <t>ASKERSUND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4686-2020</t>
        </is>
      </c>
      <c r="B195" s="1" t="n">
        <v>43852</v>
      </c>
      <c r="C195" s="1" t="n">
        <v>45824</v>
      </c>
      <c r="D195" t="inlineStr">
        <is>
          <t>ÖREBRO LÄN</t>
        </is>
      </c>
      <c r="E195" t="inlineStr">
        <is>
          <t>ASKERSUND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4846-2020</t>
        </is>
      </c>
      <c r="B196" s="1" t="n">
        <v>43852</v>
      </c>
      <c r="C196" s="1" t="n">
        <v>45824</v>
      </c>
      <c r="D196" t="inlineStr">
        <is>
          <t>ÖREBRO LÄN</t>
        </is>
      </c>
      <c r="E196" t="inlineStr">
        <is>
          <t>ASKERSUND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5696-2020</t>
        </is>
      </c>
      <c r="B197" s="1" t="n">
        <v>43861</v>
      </c>
      <c r="C197" s="1" t="n">
        <v>45824</v>
      </c>
      <c r="D197" t="inlineStr">
        <is>
          <t>ÖREBRO LÄN</t>
        </is>
      </c>
      <c r="E197" t="inlineStr">
        <is>
          <t>ASKERSUND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9501-2020</t>
        </is>
      </c>
      <c r="B198" s="1" t="n">
        <v>43880</v>
      </c>
      <c r="C198" s="1" t="n">
        <v>45824</v>
      </c>
      <c r="D198" t="inlineStr">
        <is>
          <t>ÖREBRO LÄN</t>
        </is>
      </c>
      <c r="E198" t="inlineStr">
        <is>
          <t>ASKERSUND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10089-2020</t>
        </is>
      </c>
      <c r="B199" s="1" t="n">
        <v>43885</v>
      </c>
      <c r="C199" s="1" t="n">
        <v>45824</v>
      </c>
      <c r="D199" t="inlineStr">
        <is>
          <t>ÖREBRO LÄN</t>
        </is>
      </c>
      <c r="E199" t="inlineStr">
        <is>
          <t>ASKERSUND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13146-2020</t>
        </is>
      </c>
      <c r="B200" s="1" t="n">
        <v>43901</v>
      </c>
      <c r="C200" s="1" t="n">
        <v>45824</v>
      </c>
      <c r="D200" t="inlineStr">
        <is>
          <t>ÖREBRO LÄN</t>
        </is>
      </c>
      <c r="E200" t="inlineStr">
        <is>
          <t>ASKERSUND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13242-2020</t>
        </is>
      </c>
      <c r="B201" s="1" t="n">
        <v>43901</v>
      </c>
      <c r="C201" s="1" t="n">
        <v>45824</v>
      </c>
      <c r="D201" t="inlineStr">
        <is>
          <t>ÖREBRO LÄN</t>
        </is>
      </c>
      <c r="E201" t="inlineStr">
        <is>
          <t>ASKERSUND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14913-2020</t>
        </is>
      </c>
      <c r="B202" s="1" t="n">
        <v>43906</v>
      </c>
      <c r="C202" s="1" t="n">
        <v>45824</v>
      </c>
      <c r="D202" t="inlineStr">
        <is>
          <t>ÖREBRO LÄN</t>
        </is>
      </c>
      <c r="E202" t="inlineStr">
        <is>
          <t>ASKERSUND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14377-2020</t>
        </is>
      </c>
      <c r="B203" s="1" t="n">
        <v>43908</v>
      </c>
      <c r="C203" s="1" t="n">
        <v>45824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14379-2020</t>
        </is>
      </c>
      <c r="B204" s="1" t="n">
        <v>43908</v>
      </c>
      <c r="C204" s="1" t="n">
        <v>45824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17113-2020</t>
        </is>
      </c>
      <c r="B205" s="1" t="n">
        <v>43922</v>
      </c>
      <c r="C205" s="1" t="n">
        <v>45824</v>
      </c>
      <c r="D205" t="inlineStr">
        <is>
          <t>ÖREBRO LÄN</t>
        </is>
      </c>
      <c r="E205" t="inlineStr">
        <is>
          <t>ASKERSUND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17864-2020</t>
        </is>
      </c>
      <c r="B206" s="1" t="n">
        <v>43924</v>
      </c>
      <c r="C206" s="1" t="n">
        <v>45824</v>
      </c>
      <c r="D206" t="inlineStr">
        <is>
          <t>ÖREBRO LÄN</t>
        </is>
      </c>
      <c r="E206" t="inlineStr">
        <is>
          <t>ASKERSUND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18044-2020</t>
        </is>
      </c>
      <c r="B207" s="1" t="n">
        <v>43927</v>
      </c>
      <c r="C207" s="1" t="n">
        <v>45824</v>
      </c>
      <c r="D207" t="inlineStr">
        <is>
          <t>ÖREBRO LÄN</t>
        </is>
      </c>
      <c r="E207" t="inlineStr">
        <is>
          <t>ASKERSUND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18293-2020</t>
        </is>
      </c>
      <c r="B208" s="1" t="n">
        <v>43928</v>
      </c>
      <c r="C208" s="1" t="n">
        <v>45824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18290-2020</t>
        </is>
      </c>
      <c r="B209" s="1" t="n">
        <v>43928</v>
      </c>
      <c r="C209" s="1" t="n">
        <v>45824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18243-2020</t>
        </is>
      </c>
      <c r="B210" s="1" t="n">
        <v>43928</v>
      </c>
      <c r="C210" s="1" t="n">
        <v>45824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18311-2020</t>
        </is>
      </c>
      <c r="B211" s="1" t="n">
        <v>43928</v>
      </c>
      <c r="C211" s="1" t="n">
        <v>45824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18807-2020</t>
        </is>
      </c>
      <c r="B212" s="1" t="n">
        <v>43934</v>
      </c>
      <c r="C212" s="1" t="n">
        <v>45824</v>
      </c>
      <c r="D212" t="inlineStr">
        <is>
          <t>ÖREBRO LÄN</t>
        </is>
      </c>
      <c r="E212" t="inlineStr">
        <is>
          <t>ASKERSUND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19053-2020</t>
        </is>
      </c>
      <c r="B213" s="1" t="n">
        <v>43936</v>
      </c>
      <c r="C213" s="1" t="n">
        <v>45824</v>
      </c>
      <c r="D213" t="inlineStr">
        <is>
          <t>ÖREBRO LÄN</t>
        </is>
      </c>
      <c r="E213" t="inlineStr">
        <is>
          <t>ASKERSUND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19050-2020</t>
        </is>
      </c>
      <c r="B214" s="1" t="n">
        <v>43936</v>
      </c>
      <c r="C214" s="1" t="n">
        <v>45824</v>
      </c>
      <c r="D214" t="inlineStr">
        <is>
          <t>ÖREBRO LÄN</t>
        </is>
      </c>
      <c r="E214" t="inlineStr">
        <is>
          <t>ASKERSUND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19416-2020</t>
        </is>
      </c>
      <c r="B215" s="1" t="n">
        <v>43938</v>
      </c>
      <c r="C215" s="1" t="n">
        <v>45824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19447-2020</t>
        </is>
      </c>
      <c r="B216" s="1" t="n">
        <v>43938</v>
      </c>
      <c r="C216" s="1" t="n">
        <v>45824</v>
      </c>
      <c r="D216" t="inlineStr">
        <is>
          <t>ÖREBRO LÄN</t>
        </is>
      </c>
      <c r="E216" t="inlineStr">
        <is>
          <t>ASKERSUND</t>
        </is>
      </c>
      <c r="F216" t="inlineStr">
        <is>
          <t>Övriga Aktiebolag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19540-2020</t>
        </is>
      </c>
      <c r="B217" s="1" t="n">
        <v>43941</v>
      </c>
      <c r="C217" s="1" t="n">
        <v>45824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20312-2020</t>
        </is>
      </c>
      <c r="B218" s="1" t="n">
        <v>43945</v>
      </c>
      <c r="C218" s="1" t="n">
        <v>45824</v>
      </c>
      <c r="D218" t="inlineStr">
        <is>
          <t>ÖREBRO LÄN</t>
        </is>
      </c>
      <c r="E218" t="inlineStr">
        <is>
          <t>ASKERSUND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21296-2020</t>
        </is>
      </c>
      <c r="B219" s="1" t="n">
        <v>43955</v>
      </c>
      <c r="C219" s="1" t="n">
        <v>45824</v>
      </c>
      <c r="D219" t="inlineStr">
        <is>
          <t>ÖREBRO LÄN</t>
        </is>
      </c>
      <c r="E219" t="inlineStr">
        <is>
          <t>ASKERSUND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21779-2020</t>
        </is>
      </c>
      <c r="B220" s="1" t="n">
        <v>43958</v>
      </c>
      <c r="C220" s="1" t="n">
        <v>45824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22481-2020</t>
        </is>
      </c>
      <c r="B221" s="1" t="n">
        <v>43963</v>
      </c>
      <c r="C221" s="1" t="n">
        <v>45824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22479-2020</t>
        </is>
      </c>
      <c r="B222" s="1" t="n">
        <v>43963</v>
      </c>
      <c r="C222" s="1" t="n">
        <v>45824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22476-2020</t>
        </is>
      </c>
      <c r="B223" s="1" t="n">
        <v>43963</v>
      </c>
      <c r="C223" s="1" t="n">
        <v>45824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22487-2020</t>
        </is>
      </c>
      <c r="B224" s="1" t="n">
        <v>43963</v>
      </c>
      <c r="C224" s="1" t="n">
        <v>45824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23479-2020</t>
        </is>
      </c>
      <c r="B225" s="1" t="n">
        <v>43969</v>
      </c>
      <c r="C225" s="1" t="n">
        <v>45824</v>
      </c>
      <c r="D225" t="inlineStr">
        <is>
          <t>ÖREBRO LÄN</t>
        </is>
      </c>
      <c r="E225" t="inlineStr">
        <is>
          <t>ASKERSUND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23591-2020</t>
        </is>
      </c>
      <c r="B226" s="1" t="n">
        <v>43969</v>
      </c>
      <c r="C226" s="1" t="n">
        <v>45824</v>
      </c>
      <c r="D226" t="inlineStr">
        <is>
          <t>ÖREBRO LÄN</t>
        </is>
      </c>
      <c r="E226" t="inlineStr">
        <is>
          <t>ASKERSUND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23698-2020</t>
        </is>
      </c>
      <c r="B227" s="1" t="n">
        <v>43970</v>
      </c>
      <c r="C227" s="1" t="n">
        <v>45824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23919-2020</t>
        </is>
      </c>
      <c r="B228" s="1" t="n">
        <v>43971</v>
      </c>
      <c r="C228" s="1" t="n">
        <v>45824</v>
      </c>
      <c r="D228" t="inlineStr">
        <is>
          <t>ÖREBRO LÄN</t>
        </is>
      </c>
      <c r="E228" t="inlineStr">
        <is>
          <t>ASKERSUND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24239-2020</t>
        </is>
      </c>
      <c r="B229" s="1" t="n">
        <v>43976</v>
      </c>
      <c r="C229" s="1" t="n">
        <v>45824</v>
      </c>
      <c r="D229" t="inlineStr">
        <is>
          <t>ÖREBRO LÄN</t>
        </is>
      </c>
      <c r="E229" t="inlineStr">
        <is>
          <t>ASKERSUND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25650-2020</t>
        </is>
      </c>
      <c r="B230" s="1" t="n">
        <v>43983</v>
      </c>
      <c r="C230" s="1" t="n">
        <v>45824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25648-2020</t>
        </is>
      </c>
      <c r="B231" s="1" t="n">
        <v>43983</v>
      </c>
      <c r="C231" s="1" t="n">
        <v>45824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25884-2020</t>
        </is>
      </c>
      <c r="B232" s="1" t="n">
        <v>43984</v>
      </c>
      <c r="C232" s="1" t="n">
        <v>45824</v>
      </c>
      <c r="D232" t="inlineStr">
        <is>
          <t>ÖREBRO LÄN</t>
        </is>
      </c>
      <c r="E232" t="inlineStr">
        <is>
          <t>ASKERSUND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26870-2020</t>
        </is>
      </c>
      <c r="B233" s="1" t="n">
        <v>43987</v>
      </c>
      <c r="C233" s="1" t="n">
        <v>45824</v>
      </c>
      <c r="D233" t="inlineStr">
        <is>
          <t>ÖREBRO LÄN</t>
        </is>
      </c>
      <c r="E233" t="inlineStr">
        <is>
          <t>ASKERSUND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26554-2020</t>
        </is>
      </c>
      <c r="B234" s="1" t="n">
        <v>43987</v>
      </c>
      <c r="C234" s="1" t="n">
        <v>45824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26874-2020</t>
        </is>
      </c>
      <c r="B235" s="1" t="n">
        <v>43987</v>
      </c>
      <c r="C235" s="1" t="n">
        <v>45824</v>
      </c>
      <c r="D235" t="inlineStr">
        <is>
          <t>ÖREBRO LÄN</t>
        </is>
      </c>
      <c r="E235" t="inlineStr">
        <is>
          <t>ASKERSUND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27378-2020</t>
        </is>
      </c>
      <c r="B236" s="1" t="n">
        <v>43992</v>
      </c>
      <c r="C236" s="1" t="n">
        <v>45824</v>
      </c>
      <c r="D236" t="inlineStr">
        <is>
          <t>ÖREBRO LÄN</t>
        </is>
      </c>
      <c r="E236" t="inlineStr">
        <is>
          <t>ASKERSUND</t>
        </is>
      </c>
      <c r="G236" t="n">
        <v>38.3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28145-2020</t>
        </is>
      </c>
      <c r="B237" s="1" t="n">
        <v>43997</v>
      </c>
      <c r="C237" s="1" t="n">
        <v>45824</v>
      </c>
      <c r="D237" t="inlineStr">
        <is>
          <t>ÖREBRO LÄN</t>
        </is>
      </c>
      <c r="E237" t="inlineStr">
        <is>
          <t>ASKERSUND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HYPERLINK("https://klasma.github.io/Logging_1882/knärot/A 28145-2020 karta knärot.png", "A 28145-2020")</f>
        <v/>
      </c>
      <c r="V237">
        <f>HYPERLINK("https://klasma.github.io/Logging_1882/klagomål/A 28145-2020 FSC-klagomål.docx", "A 28145-2020")</f>
        <v/>
      </c>
      <c r="W237">
        <f>HYPERLINK("https://klasma.github.io/Logging_1882/klagomålsmail/A 28145-2020 FSC-klagomål mail.docx", "A 28145-2020")</f>
        <v/>
      </c>
      <c r="X237">
        <f>HYPERLINK("https://klasma.github.io/Logging_1882/tillsyn/A 28145-2020 tillsynsbegäran.docx", "A 28145-2020")</f>
        <v/>
      </c>
      <c r="Y237">
        <f>HYPERLINK("https://klasma.github.io/Logging_1882/tillsynsmail/A 28145-2020 tillsynsbegäran mail.docx", "A 28145-2020")</f>
        <v/>
      </c>
    </row>
    <row r="238" ht="15" customHeight="1">
      <c r="A238" t="inlineStr">
        <is>
          <t>A 29546-2020</t>
        </is>
      </c>
      <c r="B238" s="1" t="n">
        <v>44004</v>
      </c>
      <c r="C238" s="1" t="n">
        <v>45824</v>
      </c>
      <c r="D238" t="inlineStr">
        <is>
          <t>ÖREBRO LÄN</t>
        </is>
      </c>
      <c r="E238" t="inlineStr">
        <is>
          <t>ASKERSUND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29733-2020</t>
        </is>
      </c>
      <c r="B239" s="1" t="n">
        <v>44005</v>
      </c>
      <c r="C239" s="1" t="n">
        <v>45824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29731-2020</t>
        </is>
      </c>
      <c r="B240" s="1" t="n">
        <v>44005</v>
      </c>
      <c r="C240" s="1" t="n">
        <v>45824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29724-2020</t>
        </is>
      </c>
      <c r="B241" s="1" t="n">
        <v>44005</v>
      </c>
      <c r="C241" s="1" t="n">
        <v>45824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30514-2020</t>
        </is>
      </c>
      <c r="B242" s="1" t="n">
        <v>44008</v>
      </c>
      <c r="C242" s="1" t="n">
        <v>45824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31707-2020</t>
        </is>
      </c>
      <c r="B243" s="1" t="n">
        <v>44014</v>
      </c>
      <c r="C243" s="1" t="n">
        <v>45824</v>
      </c>
      <c r="D243" t="inlineStr">
        <is>
          <t>ÖREBRO LÄN</t>
        </is>
      </c>
      <c r="E243" t="inlineStr">
        <is>
          <t>ASKERSUND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32409-2020</t>
        </is>
      </c>
      <c r="B244" s="1" t="n">
        <v>44018</v>
      </c>
      <c r="C244" s="1" t="n">
        <v>45824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32406-2020</t>
        </is>
      </c>
      <c r="B245" s="1" t="n">
        <v>44018</v>
      </c>
      <c r="C245" s="1" t="n">
        <v>45824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32823-2020</t>
        </is>
      </c>
      <c r="B246" s="1" t="n">
        <v>44020</v>
      </c>
      <c r="C246" s="1" t="n">
        <v>45824</v>
      </c>
      <c r="D246" t="inlineStr">
        <is>
          <t>ÖREBRO LÄN</t>
        </is>
      </c>
      <c r="E246" t="inlineStr">
        <is>
          <t>ASKERSUND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34359-2020</t>
        </is>
      </c>
      <c r="B247" s="1" t="n">
        <v>44032</v>
      </c>
      <c r="C247" s="1" t="n">
        <v>45824</v>
      </c>
      <c r="D247" t="inlineStr">
        <is>
          <t>ÖREBRO LÄN</t>
        </is>
      </c>
      <c r="E247" t="inlineStr">
        <is>
          <t>ASKERSUND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34997-2020</t>
        </is>
      </c>
      <c r="B248" s="1" t="n">
        <v>44039</v>
      </c>
      <c r="C248" s="1" t="n">
        <v>45824</v>
      </c>
      <c r="D248" t="inlineStr">
        <is>
          <t>ÖREBRO LÄN</t>
        </is>
      </c>
      <c r="E248" t="inlineStr">
        <is>
          <t>ASKERSUND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35009-2020</t>
        </is>
      </c>
      <c r="B249" s="1" t="n">
        <v>44039</v>
      </c>
      <c r="C249" s="1" t="n">
        <v>45824</v>
      </c>
      <c r="D249" t="inlineStr">
        <is>
          <t>ÖREBRO LÄN</t>
        </is>
      </c>
      <c r="E249" t="inlineStr">
        <is>
          <t>ASKERSUND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35770-2020</t>
        </is>
      </c>
      <c r="B250" s="1" t="n">
        <v>44046</v>
      </c>
      <c r="C250" s="1" t="n">
        <v>45824</v>
      </c>
      <c r="D250" t="inlineStr">
        <is>
          <t>ÖREBRO LÄN</t>
        </is>
      </c>
      <c r="E250" t="inlineStr">
        <is>
          <t>ASKERSUND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37846-2020</t>
        </is>
      </c>
      <c r="B251" s="1" t="n">
        <v>44057</v>
      </c>
      <c r="C251" s="1" t="n">
        <v>45824</v>
      </c>
      <c r="D251" t="inlineStr">
        <is>
          <t>ÖREBRO LÄN</t>
        </is>
      </c>
      <c r="E251" t="inlineStr">
        <is>
          <t>ASKERSUND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37890-2020</t>
        </is>
      </c>
      <c r="B252" s="1" t="n">
        <v>44057</v>
      </c>
      <c r="C252" s="1" t="n">
        <v>45824</v>
      </c>
      <c r="D252" t="inlineStr">
        <is>
          <t>ÖREBRO LÄN</t>
        </is>
      </c>
      <c r="E252" t="inlineStr">
        <is>
          <t>ASKERSUND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38109-2020</t>
        </is>
      </c>
      <c r="B253" s="1" t="n">
        <v>44058</v>
      </c>
      <c r="C253" s="1" t="n">
        <v>45824</v>
      </c>
      <c r="D253" t="inlineStr">
        <is>
          <t>ÖREBRO LÄN</t>
        </is>
      </c>
      <c r="E253" t="inlineStr">
        <is>
          <t>ASKERSUND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38176-2020</t>
        </is>
      </c>
      <c r="B254" s="1" t="n">
        <v>44060</v>
      </c>
      <c r="C254" s="1" t="n">
        <v>45824</v>
      </c>
      <c r="D254" t="inlineStr">
        <is>
          <t>ÖREBRO LÄN</t>
        </is>
      </c>
      <c r="E254" t="inlineStr">
        <is>
          <t>ASKERSUND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38184-2020</t>
        </is>
      </c>
      <c r="B255" s="1" t="n">
        <v>44060</v>
      </c>
      <c r="C255" s="1" t="n">
        <v>45824</v>
      </c>
      <c r="D255" t="inlineStr">
        <is>
          <t>ÖREBRO LÄN</t>
        </is>
      </c>
      <c r="E255" t="inlineStr">
        <is>
          <t>ASKERSUND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38251-2020</t>
        </is>
      </c>
      <c r="B256" s="1" t="n">
        <v>44060</v>
      </c>
      <c r="C256" s="1" t="n">
        <v>45824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38247-2020</t>
        </is>
      </c>
      <c r="B257" s="1" t="n">
        <v>44060</v>
      </c>
      <c r="C257" s="1" t="n">
        <v>45824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38922-2020</t>
        </is>
      </c>
      <c r="B258" s="1" t="n">
        <v>44062</v>
      </c>
      <c r="C258" s="1" t="n">
        <v>45824</v>
      </c>
      <c r="D258" t="inlineStr">
        <is>
          <t>ÖREBRO LÄN</t>
        </is>
      </c>
      <c r="E258" t="inlineStr">
        <is>
          <t>ASKERSUND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39926-2020</t>
        </is>
      </c>
      <c r="B259" s="1" t="n">
        <v>44064</v>
      </c>
      <c r="C259" s="1" t="n">
        <v>45824</v>
      </c>
      <c r="D259" t="inlineStr">
        <is>
          <t>ÖREBRO LÄN</t>
        </is>
      </c>
      <c r="E259" t="inlineStr">
        <is>
          <t>ASKERSUND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40883-2020</t>
        </is>
      </c>
      <c r="B260" s="1" t="n">
        <v>44070</v>
      </c>
      <c r="C260" s="1" t="n">
        <v>45824</v>
      </c>
      <c r="D260" t="inlineStr">
        <is>
          <t>ÖREBRO LÄN</t>
        </is>
      </c>
      <c r="E260" t="inlineStr">
        <is>
          <t>ASKERSUND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41248-2020</t>
        </is>
      </c>
      <c r="B261" s="1" t="n">
        <v>44071</v>
      </c>
      <c r="C261" s="1" t="n">
        <v>45824</v>
      </c>
      <c r="D261" t="inlineStr">
        <is>
          <t>ÖREBRO LÄN</t>
        </is>
      </c>
      <c r="E261" t="inlineStr">
        <is>
          <t>ASKERSUND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41996-2020</t>
        </is>
      </c>
      <c r="B262" s="1" t="n">
        <v>44075</v>
      </c>
      <c r="C262" s="1" t="n">
        <v>45824</v>
      </c>
      <c r="D262" t="inlineStr">
        <is>
          <t>ÖREBRO LÄN</t>
        </is>
      </c>
      <c r="E262" t="inlineStr">
        <is>
          <t>ASKERSUND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42001-2020</t>
        </is>
      </c>
      <c r="B263" s="1" t="n">
        <v>44075</v>
      </c>
      <c r="C263" s="1" t="n">
        <v>45824</v>
      </c>
      <c r="D263" t="inlineStr">
        <is>
          <t>ÖREBRO LÄN</t>
        </is>
      </c>
      <c r="E263" t="inlineStr">
        <is>
          <t>ASKERSUND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42646-2020</t>
        </is>
      </c>
      <c r="B264" s="1" t="n">
        <v>44077</v>
      </c>
      <c r="C264" s="1" t="n">
        <v>45824</v>
      </c>
      <c r="D264" t="inlineStr">
        <is>
          <t>ÖREBRO LÄN</t>
        </is>
      </c>
      <c r="E264" t="inlineStr">
        <is>
          <t>ASKERSUND</t>
        </is>
      </c>
      <c r="G264" t="n">
        <v>13.6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42642-2020</t>
        </is>
      </c>
      <c r="B265" s="1" t="n">
        <v>44077</v>
      </c>
      <c r="C265" s="1" t="n">
        <v>45824</v>
      </c>
      <c r="D265" t="inlineStr">
        <is>
          <t>ÖREBRO LÄN</t>
        </is>
      </c>
      <c r="E265" t="inlineStr">
        <is>
          <t>ASKERSUND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44159-2020</t>
        </is>
      </c>
      <c r="B266" s="1" t="n">
        <v>44083</v>
      </c>
      <c r="C266" s="1" t="n">
        <v>45824</v>
      </c>
      <c r="D266" t="inlineStr">
        <is>
          <t>ÖREBRO LÄN</t>
        </is>
      </c>
      <c r="E266" t="inlineStr">
        <is>
          <t>ASKERSUND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44299-2020</t>
        </is>
      </c>
      <c r="B267" s="1" t="n">
        <v>44084</v>
      </c>
      <c r="C267" s="1" t="n">
        <v>45824</v>
      </c>
      <c r="D267" t="inlineStr">
        <is>
          <t>ÖREBRO LÄN</t>
        </is>
      </c>
      <c r="E267" t="inlineStr">
        <is>
          <t>ASKERSUND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44332-2020</t>
        </is>
      </c>
      <c r="B268" s="1" t="n">
        <v>44084</v>
      </c>
      <c r="C268" s="1" t="n">
        <v>45824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44340-2020</t>
        </is>
      </c>
      <c r="B269" s="1" t="n">
        <v>44084</v>
      </c>
      <c r="C269" s="1" t="n">
        <v>45824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44336-2020</t>
        </is>
      </c>
      <c r="B270" s="1" t="n">
        <v>44084</v>
      </c>
      <c r="C270" s="1" t="n">
        <v>45824</v>
      </c>
      <c r="D270" t="inlineStr">
        <is>
          <t>ÖREBRO LÄN</t>
        </is>
      </c>
      <c r="E270" t="inlineStr">
        <is>
          <t>ASKERSUND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44850-2020</t>
        </is>
      </c>
      <c r="B271" s="1" t="n">
        <v>44087</v>
      </c>
      <c r="C271" s="1" t="n">
        <v>45824</v>
      </c>
      <c r="D271" t="inlineStr">
        <is>
          <t>ÖREBRO LÄN</t>
        </is>
      </c>
      <c r="E271" t="inlineStr">
        <is>
          <t>ASKERSUND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46001-2020</t>
        </is>
      </c>
      <c r="B272" s="1" t="n">
        <v>44088</v>
      </c>
      <c r="C272" s="1" t="n">
        <v>45824</v>
      </c>
      <c r="D272" t="inlineStr">
        <is>
          <t>ÖREBRO LÄN</t>
        </is>
      </c>
      <c r="E272" t="inlineStr">
        <is>
          <t>ASKERSUND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46012-2020</t>
        </is>
      </c>
      <c r="B273" s="1" t="n">
        <v>44088</v>
      </c>
      <c r="C273" s="1" t="n">
        <v>45824</v>
      </c>
      <c r="D273" t="inlineStr">
        <is>
          <t>ÖREBRO LÄN</t>
        </is>
      </c>
      <c r="E273" t="inlineStr">
        <is>
          <t>ASKERSUND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46259-2020</t>
        </is>
      </c>
      <c r="B274" s="1" t="n">
        <v>44092</v>
      </c>
      <c r="C274" s="1" t="n">
        <v>45824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46649-2020</t>
        </is>
      </c>
      <c r="B275" s="1" t="n">
        <v>44095</v>
      </c>
      <c r="C275" s="1" t="n">
        <v>45824</v>
      </c>
      <c r="D275" t="inlineStr">
        <is>
          <t>ÖREBRO LÄN</t>
        </is>
      </c>
      <c r="E275" t="inlineStr">
        <is>
          <t>ASKERSUND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47239-2020</t>
        </is>
      </c>
      <c r="B276" s="1" t="n">
        <v>44097</v>
      </c>
      <c r="C276" s="1" t="n">
        <v>45824</v>
      </c>
      <c r="D276" t="inlineStr">
        <is>
          <t>ÖREBRO LÄN</t>
        </is>
      </c>
      <c r="E276" t="inlineStr">
        <is>
          <t>ASKERSUND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47224-2020</t>
        </is>
      </c>
      <c r="B277" s="1" t="n">
        <v>44097</v>
      </c>
      <c r="C277" s="1" t="n">
        <v>45824</v>
      </c>
      <c r="D277" t="inlineStr">
        <is>
          <t>ÖREBRO LÄN</t>
        </is>
      </c>
      <c r="E277" t="inlineStr">
        <is>
          <t>ASKERSUND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48317-2020</t>
        </is>
      </c>
      <c r="B278" s="1" t="n">
        <v>44102</v>
      </c>
      <c r="C278" s="1" t="n">
        <v>45824</v>
      </c>
      <c r="D278" t="inlineStr">
        <is>
          <t>ÖREBRO LÄN</t>
        </is>
      </c>
      <c r="E278" t="inlineStr">
        <is>
          <t>ASKERSUND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48352-2020</t>
        </is>
      </c>
      <c r="B279" s="1" t="n">
        <v>44102</v>
      </c>
      <c r="C279" s="1" t="n">
        <v>45824</v>
      </c>
      <c r="D279" t="inlineStr">
        <is>
          <t>ÖREBRO LÄN</t>
        </is>
      </c>
      <c r="E279" t="inlineStr">
        <is>
          <t>ASKERSUND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50494-2020</t>
        </is>
      </c>
      <c r="B280" s="1" t="n">
        <v>44104</v>
      </c>
      <c r="C280" s="1" t="n">
        <v>45824</v>
      </c>
      <c r="D280" t="inlineStr">
        <is>
          <t>ÖREBRO LÄN</t>
        </is>
      </c>
      <c r="E280" t="inlineStr">
        <is>
          <t>ASKERSUND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49281-2020</t>
        </is>
      </c>
      <c r="B281" s="1" t="n">
        <v>44105</v>
      </c>
      <c r="C281" s="1" t="n">
        <v>45824</v>
      </c>
      <c r="D281" t="inlineStr">
        <is>
          <t>ÖREBRO LÄN</t>
        </is>
      </c>
      <c r="E281" t="inlineStr">
        <is>
          <t>ASKERSUND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51100-2020</t>
        </is>
      </c>
      <c r="B282" s="1" t="n">
        <v>44112</v>
      </c>
      <c r="C282" s="1" t="n">
        <v>45824</v>
      </c>
      <c r="D282" t="inlineStr">
        <is>
          <t>ÖREBRO LÄN</t>
        </is>
      </c>
      <c r="E282" t="inlineStr">
        <is>
          <t>ASKERSUND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51521-2020</t>
        </is>
      </c>
      <c r="B283" s="1" t="n">
        <v>44113</v>
      </c>
      <c r="C283" s="1" t="n">
        <v>45824</v>
      </c>
      <c r="D283" t="inlineStr">
        <is>
          <t>ÖREBRO LÄN</t>
        </is>
      </c>
      <c r="E283" t="inlineStr">
        <is>
          <t>ASKERSUND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52612-2020</t>
        </is>
      </c>
      <c r="B284" s="1" t="n">
        <v>44118</v>
      </c>
      <c r="C284" s="1" t="n">
        <v>45824</v>
      </c>
      <c r="D284" t="inlineStr">
        <is>
          <t>ÖREBRO LÄN</t>
        </is>
      </c>
      <c r="E284" t="inlineStr">
        <is>
          <t>ASKERSUND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53185-2020</t>
        </is>
      </c>
      <c r="B285" s="1" t="n">
        <v>44120</v>
      </c>
      <c r="C285" s="1" t="n">
        <v>45824</v>
      </c>
      <c r="D285" t="inlineStr">
        <is>
          <t>ÖREBRO LÄN</t>
        </is>
      </c>
      <c r="E285" t="inlineStr">
        <is>
          <t>ASKERSUND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53184-2020</t>
        </is>
      </c>
      <c r="B286" s="1" t="n">
        <v>44120</v>
      </c>
      <c r="C286" s="1" t="n">
        <v>45824</v>
      </c>
      <c r="D286" t="inlineStr">
        <is>
          <t>ÖREBRO LÄN</t>
        </is>
      </c>
      <c r="E286" t="inlineStr">
        <is>
          <t>ASKERSUND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54069-2020</t>
        </is>
      </c>
      <c r="B287" s="1" t="n">
        <v>44125</v>
      </c>
      <c r="C287" s="1" t="n">
        <v>45824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54647-2020</t>
        </is>
      </c>
      <c r="B288" s="1" t="n">
        <v>44127</v>
      </c>
      <c r="C288" s="1" t="n">
        <v>45824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55733-2020</t>
        </is>
      </c>
      <c r="B289" s="1" t="n">
        <v>44132</v>
      </c>
      <c r="C289" s="1" t="n">
        <v>45824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56389-2020</t>
        </is>
      </c>
      <c r="B290" s="1" t="n">
        <v>44136</v>
      </c>
      <c r="C290" s="1" t="n">
        <v>45824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57221-2020</t>
        </is>
      </c>
      <c r="B291" s="1" t="n">
        <v>44139</v>
      </c>
      <c r="C291" s="1" t="n">
        <v>45824</v>
      </c>
      <c r="D291" t="inlineStr">
        <is>
          <t>ÖREBRO LÄN</t>
        </is>
      </c>
      <c r="E291" t="inlineStr">
        <is>
          <t>ASKERSUND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57350-2020</t>
        </is>
      </c>
      <c r="B292" s="1" t="n">
        <v>44139</v>
      </c>
      <c r="C292" s="1" t="n">
        <v>45824</v>
      </c>
      <c r="D292" t="inlineStr">
        <is>
          <t>ÖREBRO LÄN</t>
        </is>
      </c>
      <c r="E292" t="inlineStr">
        <is>
          <t>ASKERSUND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57351-2020</t>
        </is>
      </c>
      <c r="B293" s="1" t="n">
        <v>44139</v>
      </c>
      <c r="C293" s="1" t="n">
        <v>45824</v>
      </c>
      <c r="D293" t="inlineStr">
        <is>
          <t>ÖREBRO LÄN</t>
        </is>
      </c>
      <c r="E293" t="inlineStr">
        <is>
          <t>ASKERSUND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58541-2020</t>
        </is>
      </c>
      <c r="B294" s="1" t="n">
        <v>44145</v>
      </c>
      <c r="C294" s="1" t="n">
        <v>45824</v>
      </c>
      <c r="D294" t="inlineStr">
        <is>
          <t>ÖREBRO LÄN</t>
        </is>
      </c>
      <c r="E294" t="inlineStr">
        <is>
          <t>ASKERSUND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59874-2020</t>
        </is>
      </c>
      <c r="B295" s="1" t="n">
        <v>44151</v>
      </c>
      <c r="C295" s="1" t="n">
        <v>45824</v>
      </c>
      <c r="D295" t="inlineStr">
        <is>
          <t>ÖREBRO LÄN</t>
        </is>
      </c>
      <c r="E295" t="inlineStr">
        <is>
          <t>ASKERSUND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59717-2020</t>
        </is>
      </c>
      <c r="B296" s="1" t="n">
        <v>44151</v>
      </c>
      <c r="C296" s="1" t="n">
        <v>45824</v>
      </c>
      <c r="D296" t="inlineStr">
        <is>
          <t>ÖREBRO LÄN</t>
        </is>
      </c>
      <c r="E296" t="inlineStr">
        <is>
          <t>ASKERSUND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59986-2020</t>
        </is>
      </c>
      <c r="B297" s="1" t="n">
        <v>44151</v>
      </c>
      <c r="C297" s="1" t="n">
        <v>45824</v>
      </c>
      <c r="D297" t="inlineStr">
        <is>
          <t>ÖREBRO LÄN</t>
        </is>
      </c>
      <c r="E297" t="inlineStr">
        <is>
          <t>ASKERSUND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59889-2020</t>
        </is>
      </c>
      <c r="B298" s="1" t="n">
        <v>44151</v>
      </c>
      <c r="C298" s="1" t="n">
        <v>45824</v>
      </c>
      <c r="D298" t="inlineStr">
        <is>
          <t>ÖREBRO LÄN</t>
        </is>
      </c>
      <c r="E298" t="inlineStr">
        <is>
          <t>ASKERSUND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59983-2020</t>
        </is>
      </c>
      <c r="B299" s="1" t="n">
        <v>44151</v>
      </c>
      <c r="C299" s="1" t="n">
        <v>45824</v>
      </c>
      <c r="D299" t="inlineStr">
        <is>
          <t>ÖREBRO LÄN</t>
        </is>
      </c>
      <c r="E299" t="inlineStr">
        <is>
          <t>ASKERSUND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60557-2020</t>
        </is>
      </c>
      <c r="B300" s="1" t="n">
        <v>44153</v>
      </c>
      <c r="C300" s="1" t="n">
        <v>45824</v>
      </c>
      <c r="D300" t="inlineStr">
        <is>
          <t>ÖREBRO LÄN</t>
        </is>
      </c>
      <c r="E300" t="inlineStr">
        <is>
          <t>ASKERSUND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63647-2020</t>
        </is>
      </c>
      <c r="B301" s="1" t="n">
        <v>44162</v>
      </c>
      <c r="C301" s="1" t="n">
        <v>45824</v>
      </c>
      <c r="D301" t="inlineStr">
        <is>
          <t>ÖREBRO LÄN</t>
        </is>
      </c>
      <c r="E301" t="inlineStr">
        <is>
          <t>ASKERSUND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64901-2020</t>
        </is>
      </c>
      <c r="B302" s="1" t="n">
        <v>44167</v>
      </c>
      <c r="C302" s="1" t="n">
        <v>45824</v>
      </c>
      <c r="D302" t="inlineStr">
        <is>
          <t>ÖREBRO LÄN</t>
        </is>
      </c>
      <c r="E302" t="inlineStr">
        <is>
          <t>ASKERSUND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64929-2020</t>
        </is>
      </c>
      <c r="B303" s="1" t="n">
        <v>44172</v>
      </c>
      <c r="C303" s="1" t="n">
        <v>45824</v>
      </c>
      <c r="D303" t="inlineStr">
        <is>
          <t>ÖREBRO LÄN</t>
        </is>
      </c>
      <c r="E303" t="inlineStr">
        <is>
          <t>ASKERSUND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64938-2020</t>
        </is>
      </c>
      <c r="B304" s="1" t="n">
        <v>44172</v>
      </c>
      <c r="C304" s="1" t="n">
        <v>45824</v>
      </c>
      <c r="D304" t="inlineStr">
        <is>
          <t>ÖREBRO LÄN</t>
        </is>
      </c>
      <c r="E304" t="inlineStr">
        <is>
          <t>ASKERSUND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65716-2020</t>
        </is>
      </c>
      <c r="B305" s="1" t="n">
        <v>44174</v>
      </c>
      <c r="C305" s="1" t="n">
        <v>45824</v>
      </c>
      <c r="D305" t="inlineStr">
        <is>
          <t>ÖREBRO LÄN</t>
        </is>
      </c>
      <c r="E305" t="inlineStr">
        <is>
          <t>ASKERSUND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68432-2020</t>
        </is>
      </c>
      <c r="B306" s="1" t="n">
        <v>44186</v>
      </c>
      <c r="C306" s="1" t="n">
        <v>45824</v>
      </c>
      <c r="D306" t="inlineStr">
        <is>
          <t>ÖREBRO LÄN</t>
        </is>
      </c>
      <c r="E306" t="inlineStr">
        <is>
          <t>ASKERSUND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68450-2020</t>
        </is>
      </c>
      <c r="B307" s="1" t="n">
        <v>44186</v>
      </c>
      <c r="C307" s="1" t="n">
        <v>45824</v>
      </c>
      <c r="D307" t="inlineStr">
        <is>
          <t>ÖREBRO LÄN</t>
        </is>
      </c>
      <c r="E307" t="inlineStr">
        <is>
          <t>ASKERSUND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68831-2020</t>
        </is>
      </c>
      <c r="B308" s="1" t="n">
        <v>44187</v>
      </c>
      <c r="C308" s="1" t="n">
        <v>45824</v>
      </c>
      <c r="D308" t="inlineStr">
        <is>
          <t>ÖREBRO LÄN</t>
        </is>
      </c>
      <c r="E308" t="inlineStr">
        <is>
          <t>ASKERSUND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69556-2020</t>
        </is>
      </c>
      <c r="B309" s="1" t="n">
        <v>44194</v>
      </c>
      <c r="C309" s="1" t="n">
        <v>45824</v>
      </c>
      <c r="D309" t="inlineStr">
        <is>
          <t>ÖREBRO LÄN</t>
        </is>
      </c>
      <c r="E309" t="inlineStr">
        <is>
          <t>ASKERSUND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166-2021</t>
        </is>
      </c>
      <c r="B310" s="1" t="n">
        <v>44200</v>
      </c>
      <c r="C310" s="1" t="n">
        <v>45824</v>
      </c>
      <c r="D310" t="inlineStr">
        <is>
          <t>ÖREBRO LÄN</t>
        </is>
      </c>
      <c r="E310" t="inlineStr">
        <is>
          <t>ASKERSUND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829-2021</t>
        </is>
      </c>
      <c r="B311" s="1" t="n">
        <v>44204</v>
      </c>
      <c r="C311" s="1" t="n">
        <v>45824</v>
      </c>
      <c r="D311" t="inlineStr">
        <is>
          <t>ÖREBRO LÄN</t>
        </is>
      </c>
      <c r="E311" t="inlineStr">
        <is>
          <t>ASKERSUND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1347-2021</t>
        </is>
      </c>
      <c r="B312" s="1" t="n">
        <v>44208</v>
      </c>
      <c r="C312" s="1" t="n">
        <v>45824</v>
      </c>
      <c r="D312" t="inlineStr">
        <is>
          <t>ÖREBRO LÄN</t>
        </is>
      </c>
      <c r="E312" t="inlineStr">
        <is>
          <t>ASKERSUND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1601-2021</t>
        </is>
      </c>
      <c r="B313" s="1" t="n">
        <v>44209</v>
      </c>
      <c r="C313" s="1" t="n">
        <v>45824</v>
      </c>
      <c r="D313" t="inlineStr">
        <is>
          <t>ÖREBRO LÄN</t>
        </is>
      </c>
      <c r="E313" t="inlineStr">
        <is>
          <t>ASKERSUND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2232-2021</t>
        </is>
      </c>
      <c r="B314" s="1" t="n">
        <v>44211</v>
      </c>
      <c r="C314" s="1" t="n">
        <v>45824</v>
      </c>
      <c r="D314" t="inlineStr">
        <is>
          <t>ÖREBRO LÄN</t>
        </is>
      </c>
      <c r="E314" t="inlineStr">
        <is>
          <t>ASKERSUND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5218-2021</t>
        </is>
      </c>
      <c r="B315" s="1" t="n">
        <v>44228</v>
      </c>
      <c r="C315" s="1" t="n">
        <v>45824</v>
      </c>
      <c r="D315" t="inlineStr">
        <is>
          <t>ÖREBRO LÄN</t>
        </is>
      </c>
      <c r="E315" t="inlineStr">
        <is>
          <t>ASKERSUND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4531-2021</t>
        </is>
      </c>
      <c r="B316" s="1" t="n">
        <v>44229</v>
      </c>
      <c r="C316" s="1" t="n">
        <v>45824</v>
      </c>
      <c r="D316" t="inlineStr">
        <is>
          <t>ÖREBRO LÄN</t>
        </is>
      </c>
      <c r="E316" t="inlineStr">
        <is>
          <t>ASKERSUND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5482-2021</t>
        </is>
      </c>
      <c r="B317" s="1" t="n">
        <v>44230</v>
      </c>
      <c r="C317" s="1" t="n">
        <v>45824</v>
      </c>
      <c r="D317" t="inlineStr">
        <is>
          <t>ÖREBRO LÄN</t>
        </is>
      </c>
      <c r="E317" t="inlineStr">
        <is>
          <t>ASKERSUND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6065-2021</t>
        </is>
      </c>
      <c r="B318" s="1" t="n">
        <v>44232</v>
      </c>
      <c r="C318" s="1" t="n">
        <v>45824</v>
      </c>
      <c r="D318" t="inlineStr">
        <is>
          <t>ÖREBRO LÄN</t>
        </is>
      </c>
      <c r="E318" t="inlineStr">
        <is>
          <t>ASKERSUND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7043-2021</t>
        </is>
      </c>
      <c r="B319" s="1" t="n">
        <v>44237</v>
      </c>
      <c r="C319" s="1" t="n">
        <v>45824</v>
      </c>
      <c r="D319" t="inlineStr">
        <is>
          <t>ÖREBRO LÄN</t>
        </is>
      </c>
      <c r="E319" t="inlineStr">
        <is>
          <t>ASKERSUND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7045-2021</t>
        </is>
      </c>
      <c r="B320" s="1" t="n">
        <v>44237</v>
      </c>
      <c r="C320" s="1" t="n">
        <v>45824</v>
      </c>
      <c r="D320" t="inlineStr">
        <is>
          <t>ÖREBRO LÄN</t>
        </is>
      </c>
      <c r="E320" t="inlineStr">
        <is>
          <t>ASKERSUND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8158-2021</t>
        </is>
      </c>
      <c r="B321" s="1" t="n">
        <v>44244</v>
      </c>
      <c r="C321" s="1" t="n">
        <v>45824</v>
      </c>
      <c r="D321" t="inlineStr">
        <is>
          <t>ÖREBRO LÄN</t>
        </is>
      </c>
      <c r="E321" t="inlineStr">
        <is>
          <t>ASKERSUND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8177-2021</t>
        </is>
      </c>
      <c r="B322" s="1" t="n">
        <v>44244</v>
      </c>
      <c r="C322" s="1" t="n">
        <v>45824</v>
      </c>
      <c r="D322" t="inlineStr">
        <is>
          <t>ÖREBRO LÄN</t>
        </is>
      </c>
      <c r="E322" t="inlineStr">
        <is>
          <t>ASKERSUND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8187-2021</t>
        </is>
      </c>
      <c r="B323" s="1" t="n">
        <v>44244</v>
      </c>
      <c r="C323" s="1" t="n">
        <v>45824</v>
      </c>
      <c r="D323" t="inlineStr">
        <is>
          <t>ÖREBRO LÄN</t>
        </is>
      </c>
      <c r="E323" t="inlineStr">
        <is>
          <t>ASKERSUND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9302-2021</t>
        </is>
      </c>
      <c r="B324" s="1" t="n">
        <v>44250</v>
      </c>
      <c r="C324" s="1" t="n">
        <v>45824</v>
      </c>
      <c r="D324" t="inlineStr">
        <is>
          <t>ÖREBRO LÄN</t>
        </is>
      </c>
      <c r="E324" t="inlineStr">
        <is>
          <t>ASKERSUND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10290-2021</t>
        </is>
      </c>
      <c r="B325" s="1" t="n">
        <v>44256</v>
      </c>
      <c r="C325" s="1" t="n">
        <v>45824</v>
      </c>
      <c r="D325" t="inlineStr">
        <is>
          <t>ÖREBRO LÄN</t>
        </is>
      </c>
      <c r="E325" t="inlineStr">
        <is>
          <t>ASKERSUND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12372-2021</t>
        </is>
      </c>
      <c r="B326" s="1" t="n">
        <v>44267</v>
      </c>
      <c r="C326" s="1" t="n">
        <v>45824</v>
      </c>
      <c r="D326" t="inlineStr">
        <is>
          <t>ÖREBRO LÄN</t>
        </is>
      </c>
      <c r="E326" t="inlineStr">
        <is>
          <t>ASKERSUND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13526-2021</t>
        </is>
      </c>
      <c r="B327" s="1" t="n">
        <v>44273</v>
      </c>
      <c r="C327" s="1" t="n">
        <v>45824</v>
      </c>
      <c r="D327" t="inlineStr">
        <is>
          <t>ÖREBRO LÄN</t>
        </is>
      </c>
      <c r="E327" t="inlineStr">
        <is>
          <t>ASKERSUND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14461-2021</t>
        </is>
      </c>
      <c r="B328" s="1" t="n">
        <v>44279</v>
      </c>
      <c r="C328" s="1" t="n">
        <v>45824</v>
      </c>
      <c r="D328" t="inlineStr">
        <is>
          <t>ÖREBRO LÄN</t>
        </is>
      </c>
      <c r="E328" t="inlineStr">
        <is>
          <t>ASKERSUND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14464-2021</t>
        </is>
      </c>
      <c r="B329" s="1" t="n">
        <v>44279</v>
      </c>
      <c r="C329" s="1" t="n">
        <v>45824</v>
      </c>
      <c r="D329" t="inlineStr">
        <is>
          <t>ÖREBRO LÄN</t>
        </is>
      </c>
      <c r="E329" t="inlineStr">
        <is>
          <t>ASKERSUND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15569-2021</t>
        </is>
      </c>
      <c r="B330" s="1" t="n">
        <v>44285</v>
      </c>
      <c r="C330" s="1" t="n">
        <v>45824</v>
      </c>
      <c r="D330" t="inlineStr">
        <is>
          <t>ÖREBRO LÄN</t>
        </is>
      </c>
      <c r="E330" t="inlineStr">
        <is>
          <t>ASKERSUND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16548-2021</t>
        </is>
      </c>
      <c r="B331" s="1" t="n">
        <v>44293</v>
      </c>
      <c r="C331" s="1" t="n">
        <v>45824</v>
      </c>
      <c r="D331" t="inlineStr">
        <is>
          <t>ÖREBRO LÄN</t>
        </is>
      </c>
      <c r="E331" t="inlineStr">
        <is>
          <t>ASKERSUND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17082-2021</t>
        </is>
      </c>
      <c r="B332" s="1" t="n">
        <v>44297</v>
      </c>
      <c r="C332" s="1" t="n">
        <v>45824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17826-2021</t>
        </is>
      </c>
      <c r="B333" s="1" t="n">
        <v>44300</v>
      </c>
      <c r="C333" s="1" t="n">
        <v>45824</v>
      </c>
      <c r="D333" t="inlineStr">
        <is>
          <t>ÖREBRO LÄN</t>
        </is>
      </c>
      <c r="E333" t="inlineStr">
        <is>
          <t>ASKERSUND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17870-2021</t>
        </is>
      </c>
      <c r="B334" s="1" t="n">
        <v>44300</v>
      </c>
      <c r="C334" s="1" t="n">
        <v>45824</v>
      </c>
      <c r="D334" t="inlineStr">
        <is>
          <t>ÖREBRO LÄN</t>
        </is>
      </c>
      <c r="E334" t="inlineStr">
        <is>
          <t>ASKERSUND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20506-2021</t>
        </is>
      </c>
      <c r="B335" s="1" t="n">
        <v>44315</v>
      </c>
      <c r="C335" s="1" t="n">
        <v>45824</v>
      </c>
      <c r="D335" t="inlineStr">
        <is>
          <t>ÖREBRO LÄN</t>
        </is>
      </c>
      <c r="E335" t="inlineStr">
        <is>
          <t>ASKERSUND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20814-2021</t>
        </is>
      </c>
      <c r="B336" s="1" t="n">
        <v>44317</v>
      </c>
      <c r="C336" s="1" t="n">
        <v>45824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22116-2021</t>
        </is>
      </c>
      <c r="B337" s="1" t="n">
        <v>44323</v>
      </c>
      <c r="C337" s="1" t="n">
        <v>45824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23301-2021</t>
        </is>
      </c>
      <c r="B338" s="1" t="n">
        <v>44333</v>
      </c>
      <c r="C338" s="1" t="n">
        <v>45824</v>
      </c>
      <c r="D338" t="inlineStr">
        <is>
          <t>ÖREBRO LÄN</t>
        </is>
      </c>
      <c r="E338" t="inlineStr">
        <is>
          <t>ASKERSUND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23720-2021</t>
        </is>
      </c>
      <c r="B339" s="1" t="n">
        <v>44334</v>
      </c>
      <c r="C339" s="1" t="n">
        <v>45824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23718-2021</t>
        </is>
      </c>
      <c r="B340" s="1" t="n">
        <v>44334</v>
      </c>
      <c r="C340" s="1" t="n">
        <v>45824</v>
      </c>
      <c r="D340" t="inlineStr">
        <is>
          <t>ÖREBRO LÄN</t>
        </is>
      </c>
      <c r="E340" t="inlineStr">
        <is>
          <t>ASKERSUND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23721-2021</t>
        </is>
      </c>
      <c r="B341" s="1" t="n">
        <v>44334</v>
      </c>
      <c r="C341" s="1" t="n">
        <v>45824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25663-2021</t>
        </is>
      </c>
      <c r="B342" s="1" t="n">
        <v>44343</v>
      </c>
      <c r="C342" s="1" t="n">
        <v>45824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25724-2021</t>
        </is>
      </c>
      <c r="B343" s="1" t="n">
        <v>44343</v>
      </c>
      <c r="C343" s="1" t="n">
        <v>45824</v>
      </c>
      <c r="D343" t="inlineStr">
        <is>
          <t>ÖREBRO LÄN</t>
        </is>
      </c>
      <c r="E343" t="inlineStr">
        <is>
          <t>ASKERSUND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25661-2021</t>
        </is>
      </c>
      <c r="B344" s="1" t="n">
        <v>44343</v>
      </c>
      <c r="C344" s="1" t="n">
        <v>45824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25720-2021</t>
        </is>
      </c>
      <c r="B345" s="1" t="n">
        <v>44343</v>
      </c>
      <c r="C345" s="1" t="n">
        <v>45824</v>
      </c>
      <c r="D345" t="inlineStr">
        <is>
          <t>ÖREBRO LÄN</t>
        </is>
      </c>
      <c r="E345" t="inlineStr">
        <is>
          <t>ASKERSUND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25749-2021</t>
        </is>
      </c>
      <c r="B346" s="1" t="n">
        <v>44343</v>
      </c>
      <c r="C346" s="1" t="n">
        <v>45824</v>
      </c>
      <c r="D346" t="inlineStr">
        <is>
          <t>ÖREBRO LÄN</t>
        </is>
      </c>
      <c r="E346" t="inlineStr">
        <is>
          <t>ASKERSUND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25729-2021</t>
        </is>
      </c>
      <c r="B347" s="1" t="n">
        <v>44343</v>
      </c>
      <c r="C347" s="1" t="n">
        <v>45824</v>
      </c>
      <c r="D347" t="inlineStr">
        <is>
          <t>ÖREBRO LÄN</t>
        </is>
      </c>
      <c r="E347" t="inlineStr">
        <is>
          <t>ASKERSUND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25911-2021</t>
        </is>
      </c>
      <c r="B348" s="1" t="n">
        <v>44344</v>
      </c>
      <c r="C348" s="1" t="n">
        <v>45824</v>
      </c>
      <c r="D348" t="inlineStr">
        <is>
          <t>ÖREBRO LÄN</t>
        </is>
      </c>
      <c r="E348" t="inlineStr">
        <is>
          <t>ASKERSUND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26549-2021</t>
        </is>
      </c>
      <c r="B349" s="1" t="n">
        <v>44348</v>
      </c>
      <c r="C349" s="1" t="n">
        <v>45824</v>
      </c>
      <c r="D349" t="inlineStr">
        <is>
          <t>ÖREBRO LÄN</t>
        </is>
      </c>
      <c r="E349" t="inlineStr">
        <is>
          <t>ASKERSUND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28949-2021</t>
        </is>
      </c>
      <c r="B350" s="1" t="n">
        <v>44358</v>
      </c>
      <c r="C350" s="1" t="n">
        <v>45824</v>
      </c>
      <c r="D350" t="inlineStr">
        <is>
          <t>ÖREBRO LÄN</t>
        </is>
      </c>
      <c r="E350" t="inlineStr">
        <is>
          <t>ASKERSUND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29104-2021</t>
        </is>
      </c>
      <c r="B351" s="1" t="n">
        <v>44358</v>
      </c>
      <c r="C351" s="1" t="n">
        <v>45824</v>
      </c>
      <c r="D351" t="inlineStr">
        <is>
          <t>ÖREBRO LÄN</t>
        </is>
      </c>
      <c r="E351" t="inlineStr">
        <is>
          <t>ASKERSUND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29122-2021</t>
        </is>
      </c>
      <c r="B352" s="1" t="n">
        <v>44358</v>
      </c>
      <c r="C352" s="1" t="n">
        <v>45824</v>
      </c>
      <c r="D352" t="inlineStr">
        <is>
          <t>ÖREBRO LÄN</t>
        </is>
      </c>
      <c r="E352" t="inlineStr">
        <is>
          <t>ASKERSUND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31225-2021</t>
        </is>
      </c>
      <c r="B353" s="1" t="n">
        <v>44368</v>
      </c>
      <c r="C353" s="1" t="n">
        <v>45824</v>
      </c>
      <c r="D353" t="inlineStr">
        <is>
          <t>ÖREBRO LÄN</t>
        </is>
      </c>
      <c r="E353" t="inlineStr">
        <is>
          <t>ASKERSUND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33167-2021</t>
        </is>
      </c>
      <c r="B354" s="1" t="n">
        <v>44376</v>
      </c>
      <c r="C354" s="1" t="n">
        <v>45824</v>
      </c>
      <c r="D354" t="inlineStr">
        <is>
          <t>ÖREBRO LÄN</t>
        </is>
      </c>
      <c r="E354" t="inlineStr">
        <is>
          <t>ASKERSUND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33157-2021</t>
        </is>
      </c>
      <c r="B355" s="1" t="n">
        <v>44376</v>
      </c>
      <c r="C355" s="1" t="n">
        <v>45824</v>
      </c>
      <c r="D355" t="inlineStr">
        <is>
          <t>ÖREBRO LÄN</t>
        </is>
      </c>
      <c r="E355" t="inlineStr">
        <is>
          <t>ASKERSUND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33151-2021</t>
        </is>
      </c>
      <c r="B356" s="1" t="n">
        <v>44376</v>
      </c>
      <c r="C356" s="1" t="n">
        <v>45824</v>
      </c>
      <c r="D356" t="inlineStr">
        <is>
          <t>ÖREBRO LÄN</t>
        </is>
      </c>
      <c r="E356" t="inlineStr">
        <is>
          <t>ASKERSUND</t>
        </is>
      </c>
      <c r="G356" t="n">
        <v>11.3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35450-2021</t>
        </is>
      </c>
      <c r="B357" s="1" t="n">
        <v>44385</v>
      </c>
      <c r="C357" s="1" t="n">
        <v>45824</v>
      </c>
      <c r="D357" t="inlineStr">
        <is>
          <t>ÖREBRO LÄN</t>
        </is>
      </c>
      <c r="E357" t="inlineStr">
        <is>
          <t>ASKERSUND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35796-2021</t>
        </is>
      </c>
      <c r="B358" s="1" t="n">
        <v>44386</v>
      </c>
      <c r="C358" s="1" t="n">
        <v>45824</v>
      </c>
      <c r="D358" t="inlineStr">
        <is>
          <t>ÖREBRO LÄN</t>
        </is>
      </c>
      <c r="E358" t="inlineStr">
        <is>
          <t>ASKERSUND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36080-2021</t>
        </is>
      </c>
      <c r="B359" s="1" t="n">
        <v>44389</v>
      </c>
      <c r="C359" s="1" t="n">
        <v>45824</v>
      </c>
      <c r="D359" t="inlineStr">
        <is>
          <t>ÖREBRO LÄN</t>
        </is>
      </c>
      <c r="E359" t="inlineStr">
        <is>
          <t>ASKERSUND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36504-2021</t>
        </is>
      </c>
      <c r="B360" s="1" t="n">
        <v>44391</v>
      </c>
      <c r="C360" s="1" t="n">
        <v>45824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36503-2021</t>
        </is>
      </c>
      <c r="B361" s="1" t="n">
        <v>44391</v>
      </c>
      <c r="C361" s="1" t="n">
        <v>45824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36596-2021</t>
        </is>
      </c>
      <c r="B362" s="1" t="n">
        <v>44391</v>
      </c>
      <c r="C362" s="1" t="n">
        <v>45824</v>
      </c>
      <c r="D362" t="inlineStr">
        <is>
          <t>ÖREBRO LÄN</t>
        </is>
      </c>
      <c r="E362" t="inlineStr">
        <is>
          <t>ASKERSUND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37277-2021</t>
        </is>
      </c>
      <c r="B363" s="1" t="n">
        <v>44397</v>
      </c>
      <c r="C363" s="1" t="n">
        <v>45824</v>
      </c>
      <c r="D363" t="inlineStr">
        <is>
          <t>ÖREBRO LÄN</t>
        </is>
      </c>
      <c r="E363" t="inlineStr">
        <is>
          <t>ASKERSUND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37294-2021</t>
        </is>
      </c>
      <c r="B364" s="1" t="n">
        <v>44397</v>
      </c>
      <c r="C364" s="1" t="n">
        <v>45824</v>
      </c>
      <c r="D364" t="inlineStr">
        <is>
          <t>ÖREBRO LÄN</t>
        </is>
      </c>
      <c r="E364" t="inlineStr">
        <is>
          <t>ASKERSUND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37393-2021</t>
        </is>
      </c>
      <c r="B365" s="1" t="n">
        <v>44398</v>
      </c>
      <c r="C365" s="1" t="n">
        <v>45824</v>
      </c>
      <c r="D365" t="inlineStr">
        <is>
          <t>ÖREBRO LÄN</t>
        </is>
      </c>
      <c r="E365" t="inlineStr">
        <is>
          <t>ASKERSUND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38484-2021</t>
        </is>
      </c>
      <c r="B366" s="1" t="n">
        <v>44407</v>
      </c>
      <c r="C366" s="1" t="n">
        <v>45824</v>
      </c>
      <c r="D366" t="inlineStr">
        <is>
          <t>ÖREBRO LÄN</t>
        </is>
      </c>
      <c r="E366" t="inlineStr">
        <is>
          <t>ASKERSUND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39061-2021</t>
        </is>
      </c>
      <c r="B367" s="1" t="n">
        <v>44412</v>
      </c>
      <c r="C367" s="1" t="n">
        <v>45824</v>
      </c>
      <c r="D367" t="inlineStr">
        <is>
          <t>ÖREBRO LÄN</t>
        </is>
      </c>
      <c r="E367" t="inlineStr">
        <is>
          <t>ASKERSUND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39597-2021</t>
        </is>
      </c>
      <c r="B368" s="1" t="n">
        <v>44413</v>
      </c>
      <c r="C368" s="1" t="n">
        <v>45824</v>
      </c>
      <c r="D368" t="inlineStr">
        <is>
          <t>ÖREBRO LÄN</t>
        </is>
      </c>
      <c r="E368" t="inlineStr">
        <is>
          <t>ASKERSUND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39605-2021</t>
        </is>
      </c>
      <c r="B369" s="1" t="n">
        <v>44413</v>
      </c>
      <c r="C369" s="1" t="n">
        <v>45824</v>
      </c>
      <c r="D369" t="inlineStr">
        <is>
          <t>ÖREBRO LÄN</t>
        </is>
      </c>
      <c r="E369" t="inlineStr">
        <is>
          <t>ASKERSUND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40404-2021</t>
        </is>
      </c>
      <c r="B370" s="1" t="n">
        <v>44419</v>
      </c>
      <c r="C370" s="1" t="n">
        <v>45824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40399-2021</t>
        </is>
      </c>
      <c r="B371" s="1" t="n">
        <v>44419</v>
      </c>
      <c r="C371" s="1" t="n">
        <v>45824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40589-2021</t>
        </is>
      </c>
      <c r="B372" s="1" t="n">
        <v>44420</v>
      </c>
      <c r="C372" s="1" t="n">
        <v>45824</v>
      </c>
      <c r="D372" t="inlineStr">
        <is>
          <t>ÖREBRO LÄN</t>
        </is>
      </c>
      <c r="E372" t="inlineStr">
        <is>
          <t>ASKERSUND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41096-2021</t>
        </is>
      </c>
      <c r="B373" s="1" t="n">
        <v>44422</v>
      </c>
      <c r="C373" s="1" t="n">
        <v>45824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41095-2021</t>
        </is>
      </c>
      <c r="B374" s="1" t="n">
        <v>44422</v>
      </c>
      <c r="C374" s="1" t="n">
        <v>45824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41094-2021</t>
        </is>
      </c>
      <c r="B375" s="1" t="n">
        <v>44422</v>
      </c>
      <c r="C375" s="1" t="n">
        <v>45824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41249-2021</t>
        </is>
      </c>
      <c r="B376" s="1" t="n">
        <v>44424</v>
      </c>
      <c r="C376" s="1" t="n">
        <v>45824</v>
      </c>
      <c r="D376" t="inlineStr">
        <is>
          <t>ÖREBRO LÄN</t>
        </is>
      </c>
      <c r="E376" t="inlineStr">
        <is>
          <t>ASKERSUND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41252-2021</t>
        </is>
      </c>
      <c r="B377" s="1" t="n">
        <v>44424</v>
      </c>
      <c r="C377" s="1" t="n">
        <v>45824</v>
      </c>
      <c r="D377" t="inlineStr">
        <is>
          <t>ÖREBRO LÄN</t>
        </is>
      </c>
      <c r="E377" t="inlineStr">
        <is>
          <t>ASKERSUND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41762-2021</t>
        </is>
      </c>
      <c r="B378" s="1" t="n">
        <v>44425</v>
      </c>
      <c r="C378" s="1" t="n">
        <v>45824</v>
      </c>
      <c r="D378" t="inlineStr">
        <is>
          <t>ÖREBRO LÄN</t>
        </is>
      </c>
      <c r="E378" t="inlineStr">
        <is>
          <t>ASKERSUND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42198-2021</t>
        </is>
      </c>
      <c r="B379" s="1" t="n">
        <v>44426</v>
      </c>
      <c r="C379" s="1" t="n">
        <v>45824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42844-2021</t>
        </is>
      </c>
      <c r="B380" s="1" t="n">
        <v>44430</v>
      </c>
      <c r="C380" s="1" t="n">
        <v>45824</v>
      </c>
      <c r="D380" t="inlineStr">
        <is>
          <t>ÖREBRO LÄN</t>
        </is>
      </c>
      <c r="E380" t="inlineStr">
        <is>
          <t>ASKERSUND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42841-2021</t>
        </is>
      </c>
      <c r="B381" s="1" t="n">
        <v>44430</v>
      </c>
      <c r="C381" s="1" t="n">
        <v>45824</v>
      </c>
      <c r="D381" t="inlineStr">
        <is>
          <t>ÖREBRO LÄN</t>
        </is>
      </c>
      <c r="E381" t="inlineStr">
        <is>
          <t>ASKERSUND</t>
        </is>
      </c>
      <c r="G381" t="n">
        <v>14.1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42830-2021</t>
        </is>
      </c>
      <c r="B382" s="1" t="n">
        <v>44430</v>
      </c>
      <c r="C382" s="1" t="n">
        <v>45824</v>
      </c>
      <c r="D382" t="inlineStr">
        <is>
          <t>ÖREBRO LÄN</t>
        </is>
      </c>
      <c r="E382" t="inlineStr">
        <is>
          <t>ASKERSUND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42839-2021</t>
        </is>
      </c>
      <c r="B383" s="1" t="n">
        <v>44430</v>
      </c>
      <c r="C383" s="1" t="n">
        <v>45824</v>
      </c>
      <c r="D383" t="inlineStr">
        <is>
          <t>ÖREBRO LÄN</t>
        </is>
      </c>
      <c r="E383" t="inlineStr">
        <is>
          <t>ASKERSUND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43139-2021</t>
        </is>
      </c>
      <c r="B384" s="1" t="n">
        <v>44431</v>
      </c>
      <c r="C384" s="1" t="n">
        <v>45824</v>
      </c>
      <c r="D384" t="inlineStr">
        <is>
          <t>ÖREBRO LÄN</t>
        </is>
      </c>
      <c r="E384" t="inlineStr">
        <is>
          <t>ASKERSUND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43415-2021</t>
        </is>
      </c>
      <c r="B385" s="1" t="n">
        <v>44432</v>
      </c>
      <c r="C385" s="1" t="n">
        <v>45824</v>
      </c>
      <c r="D385" t="inlineStr">
        <is>
          <t>ÖREBRO LÄN</t>
        </is>
      </c>
      <c r="E385" t="inlineStr">
        <is>
          <t>ASKERSUND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43421-2021</t>
        </is>
      </c>
      <c r="B386" s="1" t="n">
        <v>44432</v>
      </c>
      <c r="C386" s="1" t="n">
        <v>45824</v>
      </c>
      <c r="D386" t="inlineStr">
        <is>
          <t>ÖREBRO LÄN</t>
        </is>
      </c>
      <c r="E386" t="inlineStr">
        <is>
          <t>ASKERSUND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44150-2021</t>
        </is>
      </c>
      <c r="B387" s="1" t="n">
        <v>44434</v>
      </c>
      <c r="C387" s="1" t="n">
        <v>45824</v>
      </c>
      <c r="D387" t="inlineStr">
        <is>
          <t>ÖREBRO LÄN</t>
        </is>
      </c>
      <c r="E387" t="inlineStr">
        <is>
          <t>ASKERSUND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44343-2021</t>
        </is>
      </c>
      <c r="B388" s="1" t="n">
        <v>44435</v>
      </c>
      <c r="C388" s="1" t="n">
        <v>45824</v>
      </c>
      <c r="D388" t="inlineStr">
        <is>
          <t>ÖREBRO LÄN</t>
        </is>
      </c>
      <c r="E388" t="inlineStr">
        <is>
          <t>ASKERSUND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44528-2021</t>
        </is>
      </c>
      <c r="B389" s="1" t="n">
        <v>44435</v>
      </c>
      <c r="C389" s="1" t="n">
        <v>45824</v>
      </c>
      <c r="D389" t="inlineStr">
        <is>
          <t>ÖREBRO LÄN</t>
        </is>
      </c>
      <c r="E389" t="inlineStr">
        <is>
          <t>ASKERSUND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44972-2021</t>
        </is>
      </c>
      <c r="B390" s="1" t="n">
        <v>44438</v>
      </c>
      <c r="C390" s="1" t="n">
        <v>45824</v>
      </c>
      <c r="D390" t="inlineStr">
        <is>
          <t>ÖREBRO LÄN</t>
        </is>
      </c>
      <c r="E390" t="inlineStr">
        <is>
          <t>ASKERSUND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44976-2021</t>
        </is>
      </c>
      <c r="B391" s="1" t="n">
        <v>44438</v>
      </c>
      <c r="C391" s="1" t="n">
        <v>45824</v>
      </c>
      <c r="D391" t="inlineStr">
        <is>
          <t>ÖREBRO LÄN</t>
        </is>
      </c>
      <c r="E391" t="inlineStr">
        <is>
          <t>ASKERSUND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44938-2021</t>
        </is>
      </c>
      <c r="B392" s="1" t="n">
        <v>44438</v>
      </c>
      <c r="C392" s="1" t="n">
        <v>45824</v>
      </c>
      <c r="D392" t="inlineStr">
        <is>
          <t>ÖREBRO LÄN</t>
        </is>
      </c>
      <c r="E392" t="inlineStr">
        <is>
          <t>ASKERSUND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44978-2021</t>
        </is>
      </c>
      <c r="B393" s="1" t="n">
        <v>44438</v>
      </c>
      <c r="C393" s="1" t="n">
        <v>45824</v>
      </c>
      <c r="D393" t="inlineStr">
        <is>
          <t>ÖREBRO LÄN</t>
        </is>
      </c>
      <c r="E393" t="inlineStr">
        <is>
          <t>ASKERSUND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46174-2021</t>
        </is>
      </c>
      <c r="B394" s="1" t="n">
        <v>44442</v>
      </c>
      <c r="C394" s="1" t="n">
        <v>45824</v>
      </c>
      <c r="D394" t="inlineStr">
        <is>
          <t>ÖREBRO LÄN</t>
        </is>
      </c>
      <c r="E394" t="inlineStr">
        <is>
          <t>ASKERSUND</t>
        </is>
      </c>
      <c r="G394" t="n">
        <v>15.7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46630-2021</t>
        </is>
      </c>
      <c r="B395" s="1" t="n">
        <v>44445</v>
      </c>
      <c r="C395" s="1" t="n">
        <v>45824</v>
      </c>
      <c r="D395" t="inlineStr">
        <is>
          <t>ÖREBRO LÄN</t>
        </is>
      </c>
      <c r="E395" t="inlineStr">
        <is>
          <t>ASKERSUND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46954-2021</t>
        </is>
      </c>
      <c r="B396" s="1" t="n">
        <v>44446</v>
      </c>
      <c r="C396" s="1" t="n">
        <v>45824</v>
      </c>
      <c r="D396" t="inlineStr">
        <is>
          <t>ÖREBRO LÄN</t>
        </is>
      </c>
      <c r="E396" t="inlineStr">
        <is>
          <t>ASKERSUND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46966-2021</t>
        </is>
      </c>
      <c r="B397" s="1" t="n">
        <v>44446</v>
      </c>
      <c r="C397" s="1" t="n">
        <v>45824</v>
      </c>
      <c r="D397" t="inlineStr">
        <is>
          <t>ÖREBRO LÄN</t>
        </is>
      </c>
      <c r="E397" t="inlineStr">
        <is>
          <t>ASKERSUND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47517-2021</t>
        </is>
      </c>
      <c r="B398" s="1" t="n">
        <v>44447</v>
      </c>
      <c r="C398" s="1" t="n">
        <v>45824</v>
      </c>
      <c r="D398" t="inlineStr">
        <is>
          <t>ÖREBRO LÄN</t>
        </is>
      </c>
      <c r="E398" t="inlineStr">
        <is>
          <t>ASKERSUND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47597-2021</t>
        </is>
      </c>
      <c r="B399" s="1" t="n">
        <v>44448</v>
      </c>
      <c r="C399" s="1" t="n">
        <v>45824</v>
      </c>
      <c r="D399" t="inlineStr">
        <is>
          <t>ÖREBRO LÄN</t>
        </is>
      </c>
      <c r="E399" t="inlineStr">
        <is>
          <t>ASKERSUND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48089-2021</t>
        </is>
      </c>
      <c r="B400" s="1" t="n">
        <v>44449</v>
      </c>
      <c r="C400" s="1" t="n">
        <v>45824</v>
      </c>
      <c r="D400" t="inlineStr">
        <is>
          <t>ÖREBRO LÄN</t>
        </is>
      </c>
      <c r="E400" t="inlineStr">
        <is>
          <t>ASKERSUND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48409-2021</t>
        </is>
      </c>
      <c r="B401" s="1" t="n">
        <v>44449</v>
      </c>
      <c r="C401" s="1" t="n">
        <v>45824</v>
      </c>
      <c r="D401" t="inlineStr">
        <is>
          <t>ÖREBRO LÄN</t>
        </is>
      </c>
      <c r="E401" t="inlineStr">
        <is>
          <t>ASKERSUND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48428-2021</t>
        </is>
      </c>
      <c r="B402" s="1" t="n">
        <v>44449</v>
      </c>
      <c r="C402" s="1" t="n">
        <v>45824</v>
      </c>
      <c r="D402" t="inlineStr">
        <is>
          <t>ÖREBRO LÄN</t>
        </is>
      </c>
      <c r="E402" t="inlineStr">
        <is>
          <t>ASKERSUND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48463-2021</t>
        </is>
      </c>
      <c r="B403" s="1" t="n">
        <v>44452</v>
      </c>
      <c r="C403" s="1" t="n">
        <v>45824</v>
      </c>
      <c r="D403" t="inlineStr">
        <is>
          <t>ÖREBRO LÄN</t>
        </is>
      </c>
      <c r="E403" t="inlineStr">
        <is>
          <t>ASKERSUND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48458-2021</t>
        </is>
      </c>
      <c r="B404" s="1" t="n">
        <v>44452</v>
      </c>
      <c r="C404" s="1" t="n">
        <v>45824</v>
      </c>
      <c r="D404" t="inlineStr">
        <is>
          <t>ÖREBRO LÄN</t>
        </is>
      </c>
      <c r="E404" t="inlineStr">
        <is>
          <t>ASKERSUND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48694-2021</t>
        </is>
      </c>
      <c r="B405" s="1" t="n">
        <v>44452</v>
      </c>
      <c r="C405" s="1" t="n">
        <v>45824</v>
      </c>
      <c r="D405" t="inlineStr">
        <is>
          <t>ÖREBRO LÄN</t>
        </is>
      </c>
      <c r="E405" t="inlineStr">
        <is>
          <t>ASKERSUND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49308-2021</t>
        </is>
      </c>
      <c r="B406" s="1" t="n">
        <v>44454</v>
      </c>
      <c r="C406" s="1" t="n">
        <v>45824</v>
      </c>
      <c r="D406" t="inlineStr">
        <is>
          <t>ÖREBRO LÄN</t>
        </is>
      </c>
      <c r="E406" t="inlineStr">
        <is>
          <t>ASKERSUND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50014-2021</t>
        </is>
      </c>
      <c r="B407" s="1" t="n">
        <v>44456</v>
      </c>
      <c r="C407" s="1" t="n">
        <v>45824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50137-2021</t>
        </is>
      </c>
      <c r="B408" s="1" t="n">
        <v>44456</v>
      </c>
      <c r="C408" s="1" t="n">
        <v>45824</v>
      </c>
      <c r="D408" t="inlineStr">
        <is>
          <t>ÖREBRO LÄN</t>
        </is>
      </c>
      <c r="E408" t="inlineStr">
        <is>
          <t>ASKERSUND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50251-2021</t>
        </is>
      </c>
      <c r="B409" s="1" t="n">
        <v>44458</v>
      </c>
      <c r="C409" s="1" t="n">
        <v>45824</v>
      </c>
      <c r="D409" t="inlineStr">
        <is>
          <t>ÖREBRO LÄN</t>
        </is>
      </c>
      <c r="E409" t="inlineStr">
        <is>
          <t>ASKERSUND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50559-2021</t>
        </is>
      </c>
      <c r="B410" s="1" t="n">
        <v>44459</v>
      </c>
      <c r="C410" s="1" t="n">
        <v>45824</v>
      </c>
      <c r="D410" t="inlineStr">
        <is>
          <t>ÖREBRO LÄN</t>
        </is>
      </c>
      <c r="E410" t="inlineStr">
        <is>
          <t>ASKERSUND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51186-2021</t>
        </is>
      </c>
      <c r="B411" s="1" t="n">
        <v>44461</v>
      </c>
      <c r="C411" s="1" t="n">
        <v>45824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51213-2021</t>
        </is>
      </c>
      <c r="B412" s="1" t="n">
        <v>44461</v>
      </c>
      <c r="C412" s="1" t="n">
        <v>45824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51239-2021</t>
        </is>
      </c>
      <c r="B413" s="1" t="n">
        <v>44461</v>
      </c>
      <c r="C413" s="1" t="n">
        <v>45824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51205-2021</t>
        </is>
      </c>
      <c r="B414" s="1" t="n">
        <v>44461</v>
      </c>
      <c r="C414" s="1" t="n">
        <v>45824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51227-2021</t>
        </is>
      </c>
      <c r="B415" s="1" t="n">
        <v>44461</v>
      </c>
      <c r="C415" s="1" t="n">
        <v>45824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51180-2021</t>
        </is>
      </c>
      <c r="B416" s="1" t="n">
        <v>44461</v>
      </c>
      <c r="C416" s="1" t="n">
        <v>45824</v>
      </c>
      <c r="D416" t="inlineStr">
        <is>
          <t>ÖREBRO LÄN</t>
        </is>
      </c>
      <c r="E416" t="inlineStr">
        <is>
          <t>ASKERSUND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51348-2021</t>
        </is>
      </c>
      <c r="B417" s="1" t="n">
        <v>44461</v>
      </c>
      <c r="C417" s="1" t="n">
        <v>45824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52222-2021</t>
        </is>
      </c>
      <c r="B418" s="1" t="n">
        <v>44463</v>
      </c>
      <c r="C418" s="1" t="n">
        <v>45824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52259-2021</t>
        </is>
      </c>
      <c r="B419" s="1" t="n">
        <v>44463</v>
      </c>
      <c r="C419" s="1" t="n">
        <v>45824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52292-2021</t>
        </is>
      </c>
      <c r="B420" s="1" t="n">
        <v>44463</v>
      </c>
      <c r="C420" s="1" t="n">
        <v>45824</v>
      </c>
      <c r="D420" t="inlineStr">
        <is>
          <t>ÖREBRO LÄN</t>
        </is>
      </c>
      <c r="E420" t="inlineStr">
        <is>
          <t>ASKERSUND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52602-2021</t>
        </is>
      </c>
      <c r="B421" s="1" t="n">
        <v>44466</v>
      </c>
      <c r="C421" s="1" t="n">
        <v>45824</v>
      </c>
      <c r="D421" t="inlineStr">
        <is>
          <t>ÖREBRO LÄN</t>
        </is>
      </c>
      <c r="E421" t="inlineStr">
        <is>
          <t>ASKERSUND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52938-2021</t>
        </is>
      </c>
      <c r="B422" s="1" t="n">
        <v>44467</v>
      </c>
      <c r="C422" s="1" t="n">
        <v>45824</v>
      </c>
      <c r="D422" t="inlineStr">
        <is>
          <t>ÖREBRO LÄN</t>
        </is>
      </c>
      <c r="E422" t="inlineStr">
        <is>
          <t>ASKERSUND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52978-2021</t>
        </is>
      </c>
      <c r="B423" s="1" t="n">
        <v>44467</v>
      </c>
      <c r="C423" s="1" t="n">
        <v>45824</v>
      </c>
      <c r="D423" t="inlineStr">
        <is>
          <t>ÖREBRO LÄN</t>
        </is>
      </c>
      <c r="E423" t="inlineStr">
        <is>
          <t>ASKERSUND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53019-2021</t>
        </is>
      </c>
      <c r="B424" s="1" t="n">
        <v>44467</v>
      </c>
      <c r="C424" s="1" t="n">
        <v>45824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54723-2021</t>
        </is>
      </c>
      <c r="B425" s="1" t="n">
        <v>44473</v>
      </c>
      <c r="C425" s="1" t="n">
        <v>45824</v>
      </c>
      <c r="D425" t="inlineStr">
        <is>
          <t>ÖREBRO LÄN</t>
        </is>
      </c>
      <c r="E425" t="inlineStr">
        <is>
          <t>ASKERSUND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55047-2021</t>
        </is>
      </c>
      <c r="B426" s="1" t="n">
        <v>44474</v>
      </c>
      <c r="C426" s="1" t="n">
        <v>45824</v>
      </c>
      <c r="D426" t="inlineStr">
        <is>
          <t>ÖREBRO LÄN</t>
        </is>
      </c>
      <c r="E426" t="inlineStr">
        <is>
          <t>ASKERSUND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55053-2021</t>
        </is>
      </c>
      <c r="B427" s="1" t="n">
        <v>44474</v>
      </c>
      <c r="C427" s="1" t="n">
        <v>45824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56294-2021</t>
        </is>
      </c>
      <c r="B428" s="1" t="n">
        <v>44480</v>
      </c>
      <c r="C428" s="1" t="n">
        <v>45824</v>
      </c>
      <c r="D428" t="inlineStr">
        <is>
          <t>ÖREBRO LÄN</t>
        </is>
      </c>
      <c r="E428" t="inlineStr">
        <is>
          <t>ASKERSUND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56360-2021</t>
        </is>
      </c>
      <c r="B429" s="1" t="n">
        <v>44480</v>
      </c>
      <c r="C429" s="1" t="n">
        <v>45824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56363-2021</t>
        </is>
      </c>
      <c r="B430" s="1" t="n">
        <v>44480</v>
      </c>
      <c r="C430" s="1" t="n">
        <v>45824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56359-2021</t>
        </is>
      </c>
      <c r="B431" s="1" t="n">
        <v>44480</v>
      </c>
      <c r="C431" s="1" t="n">
        <v>45824</v>
      </c>
      <c r="D431" t="inlineStr">
        <is>
          <t>ÖREBRO LÄN</t>
        </is>
      </c>
      <c r="E431" t="inlineStr">
        <is>
          <t>ASKERSUND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57540-2021</t>
        </is>
      </c>
      <c r="B432" s="1" t="n">
        <v>44484</v>
      </c>
      <c r="C432" s="1" t="n">
        <v>45824</v>
      </c>
      <c r="D432" t="inlineStr">
        <is>
          <t>ÖREBRO LÄN</t>
        </is>
      </c>
      <c r="E432" t="inlineStr">
        <is>
          <t>ASKERSUND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57906-2021</t>
        </is>
      </c>
      <c r="B433" s="1" t="n">
        <v>44486</v>
      </c>
      <c r="C433" s="1" t="n">
        <v>45824</v>
      </c>
      <c r="D433" t="inlineStr">
        <is>
          <t>ÖREBRO LÄN</t>
        </is>
      </c>
      <c r="E433" t="inlineStr">
        <is>
          <t>ASKERSUND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58145-2021</t>
        </is>
      </c>
      <c r="B434" s="1" t="n">
        <v>44487</v>
      </c>
      <c r="C434" s="1" t="n">
        <v>45824</v>
      </c>
      <c r="D434" t="inlineStr">
        <is>
          <t>ÖREBRO LÄN</t>
        </is>
      </c>
      <c r="E434" t="inlineStr">
        <is>
          <t>ASKERSUND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58150-2021</t>
        </is>
      </c>
      <c r="B435" s="1" t="n">
        <v>44487</v>
      </c>
      <c r="C435" s="1" t="n">
        <v>45824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58155-2021</t>
        </is>
      </c>
      <c r="B436" s="1" t="n">
        <v>44487</v>
      </c>
      <c r="C436" s="1" t="n">
        <v>45824</v>
      </c>
      <c r="D436" t="inlineStr">
        <is>
          <t>ÖREBRO LÄN</t>
        </is>
      </c>
      <c r="E436" t="inlineStr">
        <is>
          <t>ASKERSUND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58139-2021</t>
        </is>
      </c>
      <c r="B437" s="1" t="n">
        <v>44487</v>
      </c>
      <c r="C437" s="1" t="n">
        <v>45824</v>
      </c>
      <c r="D437" t="inlineStr">
        <is>
          <t>ÖREBRO LÄN</t>
        </is>
      </c>
      <c r="E437" t="inlineStr">
        <is>
          <t>ASKERSUND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58143-2021</t>
        </is>
      </c>
      <c r="B438" s="1" t="n">
        <v>44487</v>
      </c>
      <c r="C438" s="1" t="n">
        <v>45824</v>
      </c>
      <c r="D438" t="inlineStr">
        <is>
          <t>ÖREBRO LÄN</t>
        </is>
      </c>
      <c r="E438" t="inlineStr">
        <is>
          <t>ASKERSUND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58153-2021</t>
        </is>
      </c>
      <c r="B439" s="1" t="n">
        <v>44487</v>
      </c>
      <c r="C439" s="1" t="n">
        <v>45824</v>
      </c>
      <c r="D439" t="inlineStr">
        <is>
          <t>ÖREBRO LÄN</t>
        </is>
      </c>
      <c r="E439" t="inlineStr">
        <is>
          <t>ASKERSUND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58420-2021</t>
        </is>
      </c>
      <c r="B440" s="1" t="n">
        <v>44488</v>
      </c>
      <c r="C440" s="1" t="n">
        <v>45824</v>
      </c>
      <c r="D440" t="inlineStr">
        <is>
          <t>ÖREBRO LÄN</t>
        </is>
      </c>
      <c r="E440" t="inlineStr">
        <is>
          <t>ASKERSUND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59112-2021</t>
        </is>
      </c>
      <c r="B441" s="1" t="n">
        <v>44490</v>
      </c>
      <c r="C441" s="1" t="n">
        <v>45824</v>
      </c>
      <c r="D441" t="inlineStr">
        <is>
          <t>ÖREBRO LÄN</t>
        </is>
      </c>
      <c r="E441" t="inlineStr">
        <is>
          <t>ASKERSUND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59557-2021</t>
        </is>
      </c>
      <c r="B442" s="1" t="n">
        <v>44491</v>
      </c>
      <c r="C442" s="1" t="n">
        <v>45824</v>
      </c>
      <c r="D442" t="inlineStr">
        <is>
          <t>ÖREBRO LÄN</t>
        </is>
      </c>
      <c r="E442" t="inlineStr">
        <is>
          <t>ASKERSUND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59865-2021</t>
        </is>
      </c>
      <c r="B443" s="1" t="n">
        <v>44494</v>
      </c>
      <c r="C443" s="1" t="n">
        <v>45824</v>
      </c>
      <c r="D443" t="inlineStr">
        <is>
          <t>ÖREBRO LÄN</t>
        </is>
      </c>
      <c r="E443" t="inlineStr">
        <is>
          <t>ASKERSUND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59933-2021</t>
        </is>
      </c>
      <c r="B444" s="1" t="n">
        <v>44494</v>
      </c>
      <c r="C444" s="1" t="n">
        <v>45824</v>
      </c>
      <c r="D444" t="inlineStr">
        <is>
          <t>ÖREBRO LÄN</t>
        </is>
      </c>
      <c r="E444" t="inlineStr">
        <is>
          <t>ASKERSUND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60240-2021</t>
        </is>
      </c>
      <c r="B445" s="1" t="n">
        <v>44495</v>
      </c>
      <c r="C445" s="1" t="n">
        <v>45824</v>
      </c>
      <c r="D445" t="inlineStr">
        <is>
          <t>ÖREBRO LÄN</t>
        </is>
      </c>
      <c r="E445" t="inlineStr">
        <is>
          <t>ASKERSUND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61054-2021</t>
        </is>
      </c>
      <c r="B446" s="1" t="n">
        <v>44497</v>
      </c>
      <c r="C446" s="1" t="n">
        <v>45824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61056-2021</t>
        </is>
      </c>
      <c r="B447" s="1" t="n">
        <v>44497</v>
      </c>
      <c r="C447" s="1" t="n">
        <v>45824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60965-2021</t>
        </is>
      </c>
      <c r="B448" s="1" t="n">
        <v>44497</v>
      </c>
      <c r="C448" s="1" t="n">
        <v>45824</v>
      </c>
      <c r="D448" t="inlineStr">
        <is>
          <t>ÖREBRO LÄN</t>
        </is>
      </c>
      <c r="E448" t="inlineStr">
        <is>
          <t>ASKERSUND</t>
        </is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60959-2021</t>
        </is>
      </c>
      <c r="B449" s="1" t="n">
        <v>44497</v>
      </c>
      <c r="C449" s="1" t="n">
        <v>45824</v>
      </c>
      <c r="D449" t="inlineStr">
        <is>
          <t>ÖREBRO LÄN</t>
        </is>
      </c>
      <c r="E449" t="inlineStr">
        <is>
          <t>ASKERSUND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60961-2021</t>
        </is>
      </c>
      <c r="B450" s="1" t="n">
        <v>44497</v>
      </c>
      <c r="C450" s="1" t="n">
        <v>45824</v>
      </c>
      <c r="D450" t="inlineStr">
        <is>
          <t>ÖREBRO LÄN</t>
        </is>
      </c>
      <c r="E450" t="inlineStr">
        <is>
          <t>ASKERSUND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61517-2021</t>
        </is>
      </c>
      <c r="B451" s="1" t="n">
        <v>44501</v>
      </c>
      <c r="C451" s="1" t="n">
        <v>45824</v>
      </c>
      <c r="D451" t="inlineStr">
        <is>
          <t>ÖREBRO LÄN</t>
        </is>
      </c>
      <c r="E451" t="inlineStr">
        <is>
          <t>ASKERSUND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61570-2021</t>
        </is>
      </c>
      <c r="B452" s="1" t="n">
        <v>44501</v>
      </c>
      <c r="C452" s="1" t="n">
        <v>45824</v>
      </c>
      <c r="D452" t="inlineStr">
        <is>
          <t>ÖREBRO LÄN</t>
        </is>
      </c>
      <c r="E452" t="inlineStr">
        <is>
          <t>ASKERSUND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62584-2021</t>
        </is>
      </c>
      <c r="B453" s="1" t="n">
        <v>44503</v>
      </c>
      <c r="C453" s="1" t="n">
        <v>45824</v>
      </c>
      <c r="D453" t="inlineStr">
        <is>
          <t>ÖREBRO LÄN</t>
        </is>
      </c>
      <c r="E453" t="inlineStr">
        <is>
          <t>ASKERSUND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62832-2021</t>
        </is>
      </c>
      <c r="B454" s="1" t="n">
        <v>44503</v>
      </c>
      <c r="C454" s="1" t="n">
        <v>45824</v>
      </c>
      <c r="D454" t="inlineStr">
        <is>
          <t>ÖREBRO LÄN</t>
        </is>
      </c>
      <c r="E454" t="inlineStr">
        <is>
          <t>ASKERSUND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63422-2021</t>
        </is>
      </c>
      <c r="B455" s="1" t="n">
        <v>44508</v>
      </c>
      <c r="C455" s="1" t="n">
        <v>45824</v>
      </c>
      <c r="D455" t="inlineStr">
        <is>
          <t>ÖREBRO LÄN</t>
        </is>
      </c>
      <c r="E455" t="inlineStr">
        <is>
          <t>ASKERSUND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63504-2021</t>
        </is>
      </c>
      <c r="B456" s="1" t="n">
        <v>44508</v>
      </c>
      <c r="C456" s="1" t="n">
        <v>45824</v>
      </c>
      <c r="D456" t="inlineStr">
        <is>
          <t>ÖREBRO LÄN</t>
        </is>
      </c>
      <c r="E456" t="inlineStr">
        <is>
          <t>ASKERSUND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63517-2021</t>
        </is>
      </c>
      <c r="B457" s="1" t="n">
        <v>44508</v>
      </c>
      <c r="C457" s="1" t="n">
        <v>45824</v>
      </c>
      <c r="D457" t="inlineStr">
        <is>
          <t>ÖREBRO LÄN</t>
        </is>
      </c>
      <c r="E457" t="inlineStr">
        <is>
          <t>ASKERSUND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45824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45824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45824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45824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45824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45824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45824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45824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45824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45824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45824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45824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45824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45824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45824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45824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45824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45824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45824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45824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45824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45824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45824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45824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45824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45824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45824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45824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45824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45824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45824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45824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45824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45824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45824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45824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45824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45824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45824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45824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45824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45824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45824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45824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45824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45824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45824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45824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45824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45824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45824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45824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45824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45824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45824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45824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45824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45824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45824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45824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45824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45824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45824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45824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45824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45824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45824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45824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45824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45824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45824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45824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45824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45824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45824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45824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45824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45824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45824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45824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45824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45824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45824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45824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45824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45824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45824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45824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45824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45824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45824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45824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45824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45824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45824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45824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45824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45824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45824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45824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45824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45824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45824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45824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45824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45824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45824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45824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45824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45824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45824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45824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45824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45824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45824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45824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45824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45824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45824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45824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45824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45824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45824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45824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45824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45824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45824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45824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45824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45824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45824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45824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45824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45824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45824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45824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45824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45824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45824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45824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45824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45824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45824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45824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45824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45824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45824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45824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45824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45824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45824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45824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45824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45824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45824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45824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45824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45824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45824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45824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45824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45824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45824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45824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45824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45824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45824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45824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45824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45824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45824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45824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45824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45824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45824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45824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45824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45824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45824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45824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45824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45824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45824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45824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45824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45824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45824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45824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45824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45824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45824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45824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45824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45824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45824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45824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45824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45824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45824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45824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45824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45824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45824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45824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45824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45824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45824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45824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45824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45824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45824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45824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45824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45824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45824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45824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45824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45824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45824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45824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45824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45824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45824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45824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45824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45824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45824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45824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45824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45824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45824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45824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45824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45824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45824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45824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45824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45824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45824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45824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45824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45824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45824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45824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45824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45824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45824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45824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45824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45824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45824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45824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45824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45824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45824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45824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45824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45824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45824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45824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45824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45824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45824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45824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45824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45824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45824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45824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45824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45824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45824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45824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45824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45824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45824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45824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45824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45824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45824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45824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45824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45824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45824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45824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45824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45824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45824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45824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45824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45824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45824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45824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45824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45824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45824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45824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45824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45824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45824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45824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45824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45824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45824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45824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45824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45824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45824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45824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45824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45824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45824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45824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45824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45824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45824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45824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45824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45824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45824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45824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45824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45824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45824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45824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45824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45824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45824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45824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45824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45824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45824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45824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45824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45824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45824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45824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45824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45824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45824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45824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45824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45824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45824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45824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45824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45824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45824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45824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45824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45824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45824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45824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45824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45824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45824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45824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45824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45824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45824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45824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45824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45824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45824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45824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45824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45824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45824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45824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45824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45824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45824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45824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45824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45824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45824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45824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45824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45824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45824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45824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45824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45824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45824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45824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45824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45824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45824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45824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45824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45824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45824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45824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45824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45824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45824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45824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45824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45824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45824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45824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45824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45824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45824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45824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45824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45824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45824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45824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45824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45824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45824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45824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45824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45824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45824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45824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45824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45824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45824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45824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45824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45824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45824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45824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45824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45824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45824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45824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45824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45824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45824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45824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45824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45824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45824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45824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45824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45824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45824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45824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45824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45824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45824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45824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45824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45824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45824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45824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45824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45824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45824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45824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45824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45824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45824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45824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45824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45824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45824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45824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45824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45824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45824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45824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45824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45824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45824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45824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45824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45824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45824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45824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45824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45824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45824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45824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45824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45824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45824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45824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45824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45824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45824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45824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45824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45824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45824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45824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45824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45824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45824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45824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45824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45824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45824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45824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45824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45824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45824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45824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45824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45824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45824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45824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45824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45824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45824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45824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45824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45824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45824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45824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45824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45824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45824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45824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45824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45824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45824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45824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45824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45824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45824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45824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45824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45824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45824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45824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45824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45824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45824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45824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45824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45824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45824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45824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45824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45824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45824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45824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45824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45824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45824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45824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45824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45824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45824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45824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45824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45824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45824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45824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45824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45824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45824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45824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45824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45824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45824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45824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45824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45824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45824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45824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45824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45824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45824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45824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45824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45824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45824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45824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45824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45824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45824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45824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45824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45824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45824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45824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45824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45824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45824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45824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45824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45824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45824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45824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45824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45824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45824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45824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45824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45824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45824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45824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45824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45824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45824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45824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45824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45824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45824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45824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45824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45824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45824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45824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45824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45824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45824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45824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45824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45824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45824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45824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45824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45824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45824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45824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45824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45824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45824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45824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45824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45824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45824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45824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45824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45824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45824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45824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45824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45824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45824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45824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45824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45824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45824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45824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45824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45824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45824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45824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45824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45824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45824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45824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45824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45824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45824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45824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45824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45824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45824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45824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45824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45824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45824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45824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45824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45824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45824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45824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45824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18608-2025</t>
        </is>
      </c>
      <c r="B1123" s="1" t="n">
        <v>45763</v>
      </c>
      <c r="C1123" s="1" t="n">
        <v>45824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20515-2025</t>
        </is>
      </c>
      <c r="B1124" s="1" t="n">
        <v>45775</v>
      </c>
      <c r="C1124" s="1" t="n">
        <v>45824</v>
      </c>
      <c r="D1124" t="inlineStr">
        <is>
          <t>ÖREBRO LÄN</t>
        </is>
      </c>
      <c r="E1124" t="inlineStr">
        <is>
          <t>ASKERSUND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21048-2025</t>
        </is>
      </c>
      <c r="B1125" s="1" t="n">
        <v>45777</v>
      </c>
      <c r="C1125" s="1" t="n">
        <v>45824</v>
      </c>
      <c r="D1125" t="inlineStr">
        <is>
          <t>ÖREBRO LÄN</t>
        </is>
      </c>
      <c r="E1125" t="inlineStr">
        <is>
          <t>ASKERSUND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21041-2025</t>
        </is>
      </c>
      <c r="B1126" s="1" t="n">
        <v>45777</v>
      </c>
      <c r="C1126" s="1" t="n">
        <v>45824</v>
      </c>
      <c r="D1126" t="inlineStr">
        <is>
          <t>ÖREBRO LÄN</t>
        </is>
      </c>
      <c r="E1126" t="inlineStr">
        <is>
          <t>ASKERSUND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21045-2025</t>
        </is>
      </c>
      <c r="B1127" s="1" t="n">
        <v>45777</v>
      </c>
      <c r="C1127" s="1" t="n">
        <v>45824</v>
      </c>
      <c r="D1127" t="inlineStr">
        <is>
          <t>ÖREBRO LÄN</t>
        </is>
      </c>
      <c r="E1127" t="inlineStr">
        <is>
          <t>ASKERSUND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22979-2025</t>
        </is>
      </c>
      <c r="B1128" s="1" t="n">
        <v>45790</v>
      </c>
      <c r="C1128" s="1" t="n">
        <v>45824</v>
      </c>
      <c r="D1128" t="inlineStr">
        <is>
          <t>ÖREBRO LÄN</t>
        </is>
      </c>
      <c r="E1128" t="inlineStr">
        <is>
          <t>ASKERSUND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22999-2025</t>
        </is>
      </c>
      <c r="B1129" s="1" t="n">
        <v>45790</v>
      </c>
      <c r="C1129" s="1" t="n">
        <v>45824</v>
      </c>
      <c r="D1129" t="inlineStr">
        <is>
          <t>ÖREBRO LÄN</t>
        </is>
      </c>
      <c r="E1129" t="inlineStr">
        <is>
          <t>ASKERSUND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23233-2025</t>
        </is>
      </c>
      <c r="B1130" s="1" t="n">
        <v>45791</v>
      </c>
      <c r="C1130" s="1" t="n">
        <v>45824</v>
      </c>
      <c r="D1130" t="inlineStr">
        <is>
          <t>ÖREBRO LÄN</t>
        </is>
      </c>
      <c r="E1130" t="inlineStr">
        <is>
          <t>ASKERSUND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26198-2025</t>
        </is>
      </c>
      <c r="B1131" s="1" t="n">
        <v>45805</v>
      </c>
      <c r="C1131" s="1" t="n">
        <v>45824</v>
      </c>
      <c r="D1131" t="inlineStr">
        <is>
          <t>ÖREBRO LÄN</t>
        </is>
      </c>
      <c r="E1131" t="inlineStr">
        <is>
          <t>ASKERSUND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26868-2025</t>
        </is>
      </c>
      <c r="B1132" s="1" t="n">
        <v>45810</v>
      </c>
      <c r="C1132" s="1" t="n">
        <v>45824</v>
      </c>
      <c r="D1132" t="inlineStr">
        <is>
          <t>ÖREBRO LÄN</t>
        </is>
      </c>
      <c r="E1132" t="inlineStr">
        <is>
          <t>ASKERSUND</t>
        </is>
      </c>
      <c r="F1132" t="inlineStr">
        <is>
          <t>Sveaskog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27617-2025</t>
        </is>
      </c>
      <c r="B1133" s="1" t="n">
        <v>45813</v>
      </c>
      <c r="C1133" s="1" t="n">
        <v>45824</v>
      </c>
      <c r="D1133" t="inlineStr">
        <is>
          <t>ÖREBRO LÄN</t>
        </is>
      </c>
      <c r="E1133" t="inlineStr">
        <is>
          <t>ASKERSUND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27840-2025</t>
        </is>
      </c>
      <c r="B1134" s="1" t="n">
        <v>45817</v>
      </c>
      <c r="C1134" s="1" t="n">
        <v>45824</v>
      </c>
      <c r="D1134" t="inlineStr">
        <is>
          <t>ÖREBRO LÄN</t>
        </is>
      </c>
      <c r="E1134" t="inlineStr">
        <is>
          <t>ASKERSUND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27814-2025</t>
        </is>
      </c>
      <c r="B1135" s="1" t="n">
        <v>45817</v>
      </c>
      <c r="C1135" s="1" t="n">
        <v>45824</v>
      </c>
      <c r="D1135" t="inlineStr">
        <is>
          <t>ÖREBRO LÄN</t>
        </is>
      </c>
      <c r="E1135" t="inlineStr">
        <is>
          <t>ASKERSUND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27835-2025</t>
        </is>
      </c>
      <c r="B1136" s="1" t="n">
        <v>45817</v>
      </c>
      <c r="C1136" s="1" t="n">
        <v>45824</v>
      </c>
      <c r="D1136" t="inlineStr">
        <is>
          <t>ÖREBRO LÄN</t>
        </is>
      </c>
      <c r="E1136" t="inlineStr">
        <is>
          <t>ASKERSUND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27819-2025</t>
        </is>
      </c>
      <c r="B1137" s="1" t="n">
        <v>45817</v>
      </c>
      <c r="C1137" s="1" t="n">
        <v>45824</v>
      </c>
      <c r="D1137" t="inlineStr">
        <is>
          <t>ÖREBRO LÄN</t>
        </is>
      </c>
      <c r="E1137" t="inlineStr">
        <is>
          <t>ASKERSUND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28395-2025</t>
        </is>
      </c>
      <c r="B1138" s="1" t="n">
        <v>45819</v>
      </c>
      <c r="C1138" s="1" t="n">
        <v>45824</v>
      </c>
      <c r="D1138" t="inlineStr">
        <is>
          <t>ÖREBRO LÄN</t>
        </is>
      </c>
      <c r="E1138" t="inlineStr">
        <is>
          <t>ASKERSUND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>
      <c r="A1139" t="inlineStr">
        <is>
          <t>A 28413-2025</t>
        </is>
      </c>
      <c r="B1139" s="1" t="n">
        <v>45819</v>
      </c>
      <c r="C1139" s="1" t="n">
        <v>45824</v>
      </c>
      <c r="D1139" t="inlineStr">
        <is>
          <t>ÖREBRO LÄN</t>
        </is>
      </c>
      <c r="E1139" t="inlineStr">
        <is>
          <t>ASKERSUND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2025-06-16T19:02:27Z</dcterms:created>
  <dcterms:modified xmlns:dcterms="http://purl.org/dc/terms/" xmlns:xsi="http://www.w3.org/2001/XMLSchema-instance" xsi:type="dcterms:W3CDTF">2025-06-16T19:02:28Z</dcterms:modified>
</cp:coreProperties>
</file>