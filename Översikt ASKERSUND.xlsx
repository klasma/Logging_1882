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45821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45821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45821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45821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45821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45821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45821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45821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45821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45821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45821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45821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45821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45821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45821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45821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45821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45821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45821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45821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45821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45821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45821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45821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45821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45821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45821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45821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45821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45821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45821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45821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45821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45821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45821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45821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45821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45821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45821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45821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45821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45821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45821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45821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45821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45821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45821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45821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45821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45821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45821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45821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45821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45821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45821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45821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45821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45821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45821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45821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45821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45821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45821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45821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45821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45821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45821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63535-2021</t>
        </is>
      </c>
      <c r="B69" s="1" t="n">
        <v>44508</v>
      </c>
      <c r="C69" s="1" t="n">
        <v>45821</v>
      </c>
      <c r="D69" t="inlineStr">
        <is>
          <t>ÖREBRO LÄN</t>
        </is>
      </c>
      <c r="E69" t="inlineStr">
        <is>
          <t>ASKERSUND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Humlerotfjäril</t>
        </is>
      </c>
      <c r="S69">
        <f>HYPERLINK("https://klasma.github.io/Logging_1882/artfynd/A 63535-2021 artfynd.xlsx", "A 63535-2021")</f>
        <v/>
      </c>
      <c r="T69">
        <f>HYPERLINK("https://klasma.github.io/Logging_1882/kartor/A 63535-2021 karta.png", "A 63535-2021")</f>
        <v/>
      </c>
      <c r="V69">
        <f>HYPERLINK("https://klasma.github.io/Logging_1882/klagomål/A 63535-2021 FSC-klagomål.docx", "A 63535-2021")</f>
        <v/>
      </c>
      <c r="W69">
        <f>HYPERLINK("https://klasma.github.io/Logging_1882/klagomålsmail/A 63535-2021 FSC-klagomål mail.docx", "A 63535-2021")</f>
        <v/>
      </c>
      <c r="X69">
        <f>HYPERLINK("https://klasma.github.io/Logging_1882/tillsyn/A 63535-2021 tillsynsbegäran.docx", "A 63535-2021")</f>
        <v/>
      </c>
      <c r="Y69">
        <f>HYPERLINK("https://klasma.github.io/Logging_1882/tillsynsmail/A 63535-2021 tillsynsbegäran mail.docx", "A 63535-2021")</f>
        <v/>
      </c>
    </row>
    <row r="70" ht="15" customHeight="1">
      <c r="A70" t="inlineStr">
        <is>
          <t>A 66339-2021</t>
        </is>
      </c>
      <c r="B70" s="1" t="n">
        <v>44518</v>
      </c>
      <c r="C70" s="1" t="n">
        <v>45821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Gransotdyna</t>
        </is>
      </c>
      <c r="S70">
        <f>HYPERLINK("https://klasma.github.io/Logging_1882/artfynd/A 66339-2021 artfynd.xlsx", "A 66339-2021")</f>
        <v/>
      </c>
      <c r="T70">
        <f>HYPERLINK("https://klasma.github.io/Logging_1882/kartor/A 66339-2021 karta.png", "A 66339-2021")</f>
        <v/>
      </c>
      <c r="V70">
        <f>HYPERLINK("https://klasma.github.io/Logging_1882/klagomål/A 66339-2021 FSC-klagomål.docx", "A 66339-2021")</f>
        <v/>
      </c>
      <c r="W70">
        <f>HYPERLINK("https://klasma.github.io/Logging_1882/klagomålsmail/A 66339-2021 FSC-klagomål mail.docx", "A 66339-2021")</f>
        <v/>
      </c>
      <c r="X70">
        <f>HYPERLINK("https://klasma.github.io/Logging_1882/tillsyn/A 66339-2021 tillsynsbegäran.docx", "A 66339-2021")</f>
        <v/>
      </c>
      <c r="Y70">
        <f>HYPERLINK("https://klasma.github.io/Logging_1882/tillsynsmail/A 66339-2021 tillsynsbegäran mail.docx", "A 66339-2021")</f>
        <v/>
      </c>
    </row>
    <row r="71" ht="15" customHeight="1">
      <c r="A71" t="inlineStr">
        <is>
          <t>A 20197-2022</t>
        </is>
      </c>
      <c r="B71" s="1" t="n">
        <v>44698</v>
      </c>
      <c r="C71" s="1" t="n">
        <v>45821</v>
      </c>
      <c r="D71" t="inlineStr">
        <is>
          <t>ÖREBRO LÄN</t>
        </is>
      </c>
      <c r="E71" t="inlineStr">
        <is>
          <t>ASKERSUND</t>
        </is>
      </c>
      <c r="G71" t="n">
        <v>9.5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HYPERLINK("https://klasma.github.io/Logging_1882/artfynd/A 20197-2022 artfynd.xlsx", "A 20197-2022")</f>
        <v/>
      </c>
      <c r="T71">
        <f>HYPERLINK("https://klasma.github.io/Logging_1882/kartor/A 20197-2022 karta.png", "A 20197-2022")</f>
        <v/>
      </c>
      <c r="V71">
        <f>HYPERLINK("https://klasma.github.io/Logging_1882/klagomål/A 20197-2022 FSC-klagomål.docx", "A 20197-2022")</f>
        <v/>
      </c>
      <c r="W71">
        <f>HYPERLINK("https://klasma.github.io/Logging_1882/klagomålsmail/A 20197-2022 FSC-klagomål mail.docx", "A 20197-2022")</f>
        <v/>
      </c>
      <c r="X71">
        <f>HYPERLINK("https://klasma.github.io/Logging_1882/tillsyn/A 20197-2022 tillsynsbegäran.docx", "A 20197-2022")</f>
        <v/>
      </c>
      <c r="Y71">
        <f>HYPERLINK("https://klasma.github.io/Logging_1882/tillsynsmail/A 20197-2022 tillsynsbegäran mail.docx", "A 20197-2022")</f>
        <v/>
      </c>
    </row>
    <row r="72" ht="15" customHeight="1">
      <c r="A72" t="inlineStr">
        <is>
          <t>A 30189-2022</t>
        </is>
      </c>
      <c r="B72" s="1" t="n">
        <v>44757</v>
      </c>
      <c r="C72" s="1" t="n">
        <v>45821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HYPERLINK("https://klasma.github.io/Logging_1882/artfynd/A 30189-2022 artfynd.xlsx", "A 30189-2022")</f>
        <v/>
      </c>
      <c r="T72">
        <f>HYPERLINK("https://klasma.github.io/Logging_1882/kartor/A 30189-2022 karta.png", "A 30189-2022")</f>
        <v/>
      </c>
      <c r="V72">
        <f>HYPERLINK("https://klasma.github.io/Logging_1882/klagomål/A 30189-2022 FSC-klagomål.docx", "A 30189-2022")</f>
        <v/>
      </c>
      <c r="W72">
        <f>HYPERLINK("https://klasma.github.io/Logging_1882/klagomålsmail/A 30189-2022 FSC-klagomål mail.docx", "A 30189-2022")</f>
        <v/>
      </c>
      <c r="X72">
        <f>HYPERLINK("https://klasma.github.io/Logging_1882/tillsyn/A 30189-2022 tillsynsbegäran.docx", "A 30189-2022")</f>
        <v/>
      </c>
      <c r="Y72">
        <f>HYPERLINK("https://klasma.github.io/Logging_1882/tillsynsmail/A 30189-2022 tillsynsbegäran mail.docx", "A 30189-2022")</f>
        <v/>
      </c>
    </row>
    <row r="73" ht="15" customHeight="1">
      <c r="A73" t="inlineStr">
        <is>
          <t>A 48879-2022</t>
        </is>
      </c>
      <c r="B73" s="1" t="n">
        <v>44859</v>
      </c>
      <c r="C73" s="1" t="n">
        <v>45821</v>
      </c>
      <c r="D73" t="inlineStr">
        <is>
          <t>ÖREBRO LÄN</t>
        </is>
      </c>
      <c r="E73" t="inlineStr">
        <is>
          <t>ASKERSUND</t>
        </is>
      </c>
      <c r="G73" t="n">
        <v>8.199999999999999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Rutspindling</t>
        </is>
      </c>
      <c r="S73">
        <f>HYPERLINK("https://klasma.github.io/Logging_1882/artfynd/A 48879-2022 artfynd.xlsx", "A 48879-2022")</f>
        <v/>
      </c>
      <c r="T73">
        <f>HYPERLINK("https://klasma.github.io/Logging_1882/kartor/A 48879-2022 karta.png", "A 48879-2022")</f>
        <v/>
      </c>
      <c r="V73">
        <f>HYPERLINK("https://klasma.github.io/Logging_1882/klagomål/A 48879-2022 FSC-klagomål.docx", "A 48879-2022")</f>
        <v/>
      </c>
      <c r="W73">
        <f>HYPERLINK("https://klasma.github.io/Logging_1882/klagomålsmail/A 48879-2022 FSC-klagomål mail.docx", "A 48879-2022")</f>
        <v/>
      </c>
      <c r="X73">
        <f>HYPERLINK("https://klasma.github.io/Logging_1882/tillsyn/A 48879-2022 tillsynsbegäran.docx", "A 48879-2022")</f>
        <v/>
      </c>
      <c r="Y73">
        <f>HYPERLINK("https://klasma.github.io/Logging_1882/tillsynsmail/A 48879-2022 tillsynsbegäran mail.docx", "A 48879-2022")</f>
        <v/>
      </c>
    </row>
    <row r="74" ht="15" customHeight="1">
      <c r="A74" t="inlineStr">
        <is>
          <t>A 401-2023</t>
        </is>
      </c>
      <c r="B74" s="1" t="n">
        <v>44929</v>
      </c>
      <c r="C74" s="1" t="n">
        <v>45821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3.6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HYPERLINK("https://klasma.github.io/Logging_1882/artfynd/A 401-2023 artfynd.xlsx", "A 401-2023")</f>
        <v/>
      </c>
      <c r="T74">
        <f>HYPERLINK("https://klasma.github.io/Logging_1882/kartor/A 401-2023 karta.png", "A 401-2023")</f>
        <v/>
      </c>
      <c r="V74">
        <f>HYPERLINK("https://klasma.github.io/Logging_1882/klagomål/A 401-2023 FSC-klagomål.docx", "A 401-2023")</f>
        <v/>
      </c>
      <c r="W74">
        <f>HYPERLINK("https://klasma.github.io/Logging_1882/klagomålsmail/A 401-2023 FSC-klagomål mail.docx", "A 401-2023")</f>
        <v/>
      </c>
      <c r="X74">
        <f>HYPERLINK("https://klasma.github.io/Logging_1882/tillsyn/A 401-2023 tillsynsbegäran.docx", "A 401-2023")</f>
        <v/>
      </c>
      <c r="Y74">
        <f>HYPERLINK("https://klasma.github.io/Logging_1882/tillsynsmail/A 401-2023 tillsynsbegäran mail.docx", "A 401-2023")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45821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45821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45821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45821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45821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45821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45821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45821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45821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45821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45821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45821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45821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45821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45821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45821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45821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45821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45821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45821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45821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45821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45821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45821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45821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45821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45821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45821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45821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45821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45821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45821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17995-2019</t>
        </is>
      </c>
      <c r="B107" s="1" t="n">
        <v>43556</v>
      </c>
      <c r="C107" s="1" t="n">
        <v>45821</v>
      </c>
      <c r="D107" t="inlineStr">
        <is>
          <t>ÖREBRO LÄN</t>
        </is>
      </c>
      <c r="E107" t="inlineStr">
        <is>
          <t>ASKERSUND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18193-2019</t>
        </is>
      </c>
      <c r="B108" s="1" t="n">
        <v>43558</v>
      </c>
      <c r="C108" s="1" t="n">
        <v>45821</v>
      </c>
      <c r="D108" t="inlineStr">
        <is>
          <t>ÖREBRO LÄN</t>
        </is>
      </c>
      <c r="E108" t="inlineStr">
        <is>
          <t>ASKERSUND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18702-2019</t>
        </is>
      </c>
      <c r="B109" s="1" t="n">
        <v>43558</v>
      </c>
      <c r="C109" s="1" t="n">
        <v>45821</v>
      </c>
      <c r="D109" t="inlineStr">
        <is>
          <t>ÖREBRO LÄN</t>
        </is>
      </c>
      <c r="E109" t="inlineStr">
        <is>
          <t>ASKERSUND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20120-2019</t>
        </is>
      </c>
      <c r="B110" s="1" t="n">
        <v>43570</v>
      </c>
      <c r="C110" s="1" t="n">
        <v>45821</v>
      </c>
      <c r="D110" t="inlineStr">
        <is>
          <t>ÖREBRO LÄN</t>
        </is>
      </c>
      <c r="E110" t="inlineStr">
        <is>
          <t>ASKERSUND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22634-2019</t>
        </is>
      </c>
      <c r="B111" s="1" t="n">
        <v>43588</v>
      </c>
      <c r="C111" s="1" t="n">
        <v>45821</v>
      </c>
      <c r="D111" t="inlineStr">
        <is>
          <t>ÖREBRO LÄN</t>
        </is>
      </c>
      <c r="E111" t="inlineStr">
        <is>
          <t>ASKERSUND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23132-2019</t>
        </is>
      </c>
      <c r="B112" s="1" t="n">
        <v>43592</v>
      </c>
      <c r="C112" s="1" t="n">
        <v>45821</v>
      </c>
      <c r="D112" t="inlineStr">
        <is>
          <t>ÖREBRO LÄN</t>
        </is>
      </c>
      <c r="E112" t="inlineStr">
        <is>
          <t>ASKERSUND</t>
        </is>
      </c>
      <c r="F112" t="inlineStr">
        <is>
          <t>Kyrkan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23504-2019</t>
        </is>
      </c>
      <c r="B113" s="1" t="n">
        <v>43594</v>
      </c>
      <c r="C113" s="1" t="n">
        <v>45821</v>
      </c>
      <c r="D113" t="inlineStr">
        <is>
          <t>ÖREBRO LÄN</t>
        </is>
      </c>
      <c r="E113" t="inlineStr">
        <is>
          <t>ASKERSUND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24112-2019</t>
        </is>
      </c>
      <c r="B114" s="1" t="n">
        <v>43598</v>
      </c>
      <c r="C114" s="1" t="n">
        <v>45821</v>
      </c>
      <c r="D114" t="inlineStr">
        <is>
          <t>ÖREBRO LÄN</t>
        </is>
      </c>
      <c r="E114" t="inlineStr">
        <is>
          <t>ASKERSUND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25825-2019</t>
        </is>
      </c>
      <c r="B115" s="1" t="n">
        <v>43608</v>
      </c>
      <c r="C115" s="1" t="n">
        <v>45821</v>
      </c>
      <c r="D115" t="inlineStr">
        <is>
          <t>ÖREBRO LÄN</t>
        </is>
      </c>
      <c r="E115" t="inlineStr">
        <is>
          <t>ASKERSUND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35540-2019</t>
        </is>
      </c>
      <c r="B116" s="1" t="n">
        <v>43655</v>
      </c>
      <c r="C116" s="1" t="n">
        <v>45821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34157-2019</t>
        </is>
      </c>
      <c r="B117" s="1" t="n">
        <v>43655</v>
      </c>
      <c r="C117" s="1" t="n">
        <v>45821</v>
      </c>
      <c r="D117" t="inlineStr">
        <is>
          <t>ÖREBRO LÄN</t>
        </is>
      </c>
      <c r="E117" t="inlineStr">
        <is>
          <t>ASKERSUND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35544-2019</t>
        </is>
      </c>
      <c r="B118" s="1" t="n">
        <v>43655</v>
      </c>
      <c r="C118" s="1" t="n">
        <v>45821</v>
      </c>
      <c r="D118" t="inlineStr">
        <is>
          <t>ÖREBRO LÄN</t>
        </is>
      </c>
      <c r="E118" t="inlineStr">
        <is>
          <t>ASKERSUND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35536-2019</t>
        </is>
      </c>
      <c r="B119" s="1" t="n">
        <v>43655</v>
      </c>
      <c r="C119" s="1" t="n">
        <v>45821</v>
      </c>
      <c r="D119" t="inlineStr">
        <is>
          <t>ÖREBRO LÄN</t>
        </is>
      </c>
      <c r="E119" t="inlineStr">
        <is>
          <t>ASKERSUND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36752-2019</t>
        </is>
      </c>
      <c r="B120" s="1" t="n">
        <v>43672</v>
      </c>
      <c r="C120" s="1" t="n">
        <v>45821</v>
      </c>
      <c r="D120" t="inlineStr">
        <is>
          <t>ÖREBRO LÄN</t>
        </is>
      </c>
      <c r="E120" t="inlineStr">
        <is>
          <t>ASKERSUND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37066-2019</t>
        </is>
      </c>
      <c r="B121" s="1" t="n">
        <v>43676</v>
      </c>
      <c r="C121" s="1" t="n">
        <v>45821</v>
      </c>
      <c r="D121" t="inlineStr">
        <is>
          <t>ÖREBRO LÄN</t>
        </is>
      </c>
      <c r="E121" t="inlineStr">
        <is>
          <t>ASKERSUND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37789-2019</t>
        </is>
      </c>
      <c r="B122" s="1" t="n">
        <v>43682</v>
      </c>
      <c r="C122" s="1" t="n">
        <v>45821</v>
      </c>
      <c r="D122" t="inlineStr">
        <is>
          <t>ÖREBRO LÄN</t>
        </is>
      </c>
      <c r="E122" t="inlineStr">
        <is>
          <t>ASKERSUND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37840-2019</t>
        </is>
      </c>
      <c r="B123" s="1" t="n">
        <v>43682</v>
      </c>
      <c r="C123" s="1" t="n">
        <v>45821</v>
      </c>
      <c r="D123" t="inlineStr">
        <is>
          <t>ÖREBRO LÄN</t>
        </is>
      </c>
      <c r="E123" t="inlineStr">
        <is>
          <t>ASKERSUND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37794-2019</t>
        </is>
      </c>
      <c r="B124" s="1" t="n">
        <v>43682</v>
      </c>
      <c r="C124" s="1" t="n">
        <v>45821</v>
      </c>
      <c r="D124" t="inlineStr">
        <is>
          <t>ÖREBRO LÄN</t>
        </is>
      </c>
      <c r="E124" t="inlineStr">
        <is>
          <t>ASKERSUND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38246-2019</t>
        </is>
      </c>
      <c r="B125" s="1" t="n">
        <v>43684</v>
      </c>
      <c r="C125" s="1" t="n">
        <v>45821</v>
      </c>
      <c r="D125" t="inlineStr">
        <is>
          <t>ÖREBRO LÄN</t>
        </is>
      </c>
      <c r="E125" t="inlineStr">
        <is>
          <t>ASKERSUND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38257-2019</t>
        </is>
      </c>
      <c r="B126" s="1" t="n">
        <v>43684</v>
      </c>
      <c r="C126" s="1" t="n">
        <v>45821</v>
      </c>
      <c r="D126" t="inlineStr">
        <is>
          <t>ÖREBRO LÄN</t>
        </is>
      </c>
      <c r="E126" t="inlineStr">
        <is>
          <t>ASKERSUND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39186-2019</t>
        </is>
      </c>
      <c r="B127" s="1" t="n">
        <v>43690</v>
      </c>
      <c r="C127" s="1" t="n">
        <v>45821</v>
      </c>
      <c r="D127" t="inlineStr">
        <is>
          <t>ÖREBRO LÄN</t>
        </is>
      </c>
      <c r="E127" t="inlineStr">
        <is>
          <t>ASKERSUND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39520-2019</t>
        </is>
      </c>
      <c r="B128" s="1" t="n">
        <v>43691</v>
      </c>
      <c r="C128" s="1" t="n">
        <v>45821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39517-2019</t>
        </is>
      </c>
      <c r="B129" s="1" t="n">
        <v>43691</v>
      </c>
      <c r="C129" s="1" t="n">
        <v>45821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39516-2019</t>
        </is>
      </c>
      <c r="B130" s="1" t="n">
        <v>43691</v>
      </c>
      <c r="C130" s="1" t="n">
        <v>45821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40161-2019</t>
        </is>
      </c>
      <c r="B131" s="1" t="n">
        <v>43693</v>
      </c>
      <c r="C131" s="1" t="n">
        <v>45821</v>
      </c>
      <c r="D131" t="inlineStr">
        <is>
          <t>ÖREBRO LÄN</t>
        </is>
      </c>
      <c r="E131" t="inlineStr">
        <is>
          <t>ASKERSUND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40155-2019</t>
        </is>
      </c>
      <c r="B132" s="1" t="n">
        <v>43693</v>
      </c>
      <c r="C132" s="1" t="n">
        <v>45821</v>
      </c>
      <c r="D132" t="inlineStr">
        <is>
          <t>ÖREBRO LÄN</t>
        </is>
      </c>
      <c r="E132" t="inlineStr">
        <is>
          <t>ASKERSUND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40580-2019</t>
        </is>
      </c>
      <c r="B133" s="1" t="n">
        <v>43696</v>
      </c>
      <c r="C133" s="1" t="n">
        <v>45821</v>
      </c>
      <c r="D133" t="inlineStr">
        <is>
          <t>ÖREBRO LÄN</t>
        </is>
      </c>
      <c r="E133" t="inlineStr">
        <is>
          <t>ASKERSUND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40579-2019</t>
        </is>
      </c>
      <c r="B134" s="1" t="n">
        <v>43696</v>
      </c>
      <c r="C134" s="1" t="n">
        <v>45821</v>
      </c>
      <c r="D134" t="inlineStr">
        <is>
          <t>ÖREBRO LÄN</t>
        </is>
      </c>
      <c r="E134" t="inlineStr">
        <is>
          <t>ASKERSUND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40968-2019</t>
        </is>
      </c>
      <c r="B135" s="1" t="n">
        <v>43697</v>
      </c>
      <c r="C135" s="1" t="n">
        <v>45821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41159-2019</t>
        </is>
      </c>
      <c r="B136" s="1" t="n">
        <v>43698</v>
      </c>
      <c r="C136" s="1" t="n">
        <v>45821</v>
      </c>
      <c r="D136" t="inlineStr">
        <is>
          <t>ÖREBRO LÄN</t>
        </is>
      </c>
      <c r="E136" t="inlineStr">
        <is>
          <t>ASKERSUND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41857-2019</t>
        </is>
      </c>
      <c r="B137" s="1" t="n">
        <v>43700</v>
      </c>
      <c r="C137" s="1" t="n">
        <v>45821</v>
      </c>
      <c r="D137" t="inlineStr">
        <is>
          <t>ÖREBRO LÄN</t>
        </is>
      </c>
      <c r="E137" t="inlineStr">
        <is>
          <t>ASKERSUND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43257-2019</t>
        </is>
      </c>
      <c r="B138" s="1" t="n">
        <v>43706</v>
      </c>
      <c r="C138" s="1" t="n">
        <v>45821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43266-2019</t>
        </is>
      </c>
      <c r="B139" s="1" t="n">
        <v>43706</v>
      </c>
      <c r="C139" s="1" t="n">
        <v>45821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43263-2019</t>
        </is>
      </c>
      <c r="B140" s="1" t="n">
        <v>43706</v>
      </c>
      <c r="C140" s="1" t="n">
        <v>45821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43326-2019</t>
        </is>
      </c>
      <c r="B141" s="1" t="n">
        <v>43706</v>
      </c>
      <c r="C141" s="1" t="n">
        <v>45821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43342-2019</t>
        </is>
      </c>
      <c r="B142" s="1" t="n">
        <v>43706</v>
      </c>
      <c r="C142" s="1" t="n">
        <v>45821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43420-2019</t>
        </is>
      </c>
      <c r="B143" s="1" t="n">
        <v>43706</v>
      </c>
      <c r="C143" s="1" t="n">
        <v>45821</v>
      </c>
      <c r="D143" t="inlineStr">
        <is>
          <t>ÖREBRO LÄN</t>
        </is>
      </c>
      <c r="E143" t="inlineStr">
        <is>
          <t>ASKERSUND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43345-2019</t>
        </is>
      </c>
      <c r="B144" s="1" t="n">
        <v>43706</v>
      </c>
      <c r="C144" s="1" t="n">
        <v>45821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43268-2019</t>
        </is>
      </c>
      <c r="B145" s="1" t="n">
        <v>43706</v>
      </c>
      <c r="C145" s="1" t="n">
        <v>45821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43303-2019</t>
        </is>
      </c>
      <c r="B146" s="1" t="n">
        <v>43706</v>
      </c>
      <c r="C146" s="1" t="n">
        <v>45821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43338-2019</t>
        </is>
      </c>
      <c r="B147" s="1" t="n">
        <v>43706</v>
      </c>
      <c r="C147" s="1" t="n">
        <v>45821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43316-2019</t>
        </is>
      </c>
      <c r="B148" s="1" t="n">
        <v>43706</v>
      </c>
      <c r="C148" s="1" t="n">
        <v>45821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43820-2019</t>
        </is>
      </c>
      <c r="B149" s="1" t="n">
        <v>43707</v>
      </c>
      <c r="C149" s="1" t="n">
        <v>45821</v>
      </c>
      <c r="D149" t="inlineStr">
        <is>
          <t>ÖREBRO LÄN</t>
        </is>
      </c>
      <c r="E149" t="inlineStr">
        <is>
          <t>ASKERSUND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44431-2019</t>
        </is>
      </c>
      <c r="B150" s="1" t="n">
        <v>43711</v>
      </c>
      <c r="C150" s="1" t="n">
        <v>45821</v>
      </c>
      <c r="D150" t="inlineStr">
        <is>
          <t>ÖREBRO LÄN</t>
        </is>
      </c>
      <c r="E150" t="inlineStr">
        <is>
          <t>ASKERSUND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44655-2019</t>
        </is>
      </c>
      <c r="B151" s="1" t="n">
        <v>43712</v>
      </c>
      <c r="C151" s="1" t="n">
        <v>45821</v>
      </c>
      <c r="D151" t="inlineStr">
        <is>
          <t>ÖREBRO LÄN</t>
        </is>
      </c>
      <c r="E151" t="inlineStr">
        <is>
          <t>ASKERSUND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46932-2019</t>
        </is>
      </c>
      <c r="B152" s="1" t="n">
        <v>43720</v>
      </c>
      <c r="C152" s="1" t="n">
        <v>45821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47786-2019</t>
        </is>
      </c>
      <c r="B153" s="1" t="n">
        <v>43724</v>
      </c>
      <c r="C153" s="1" t="n">
        <v>45821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48995-2019</t>
        </is>
      </c>
      <c r="B154" s="1" t="n">
        <v>43730</v>
      </c>
      <c r="C154" s="1" t="n">
        <v>45821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49330-2019</t>
        </is>
      </c>
      <c r="B155" s="1" t="n">
        <v>43731</v>
      </c>
      <c r="C155" s="1" t="n">
        <v>45821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49724-2019</t>
        </is>
      </c>
      <c r="B156" s="1" t="n">
        <v>43733</v>
      </c>
      <c r="C156" s="1" t="n">
        <v>45821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50527-2019</t>
        </is>
      </c>
      <c r="B157" s="1" t="n">
        <v>43735</v>
      </c>
      <c r="C157" s="1" t="n">
        <v>45821</v>
      </c>
      <c r="D157" t="inlineStr">
        <is>
          <t>ÖREBRO LÄN</t>
        </is>
      </c>
      <c r="E157" t="inlineStr">
        <is>
          <t>ASKERSUND</t>
        </is>
      </c>
      <c r="F157" t="inlineStr">
        <is>
          <t>Kommuner</t>
        </is>
      </c>
      <c r="G157" t="n">
        <v>14.2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52760-2019</t>
        </is>
      </c>
      <c r="B158" s="1" t="n">
        <v>43739</v>
      </c>
      <c r="C158" s="1" t="n">
        <v>45821</v>
      </c>
      <c r="D158" t="inlineStr">
        <is>
          <t>ÖREBRO LÄN</t>
        </is>
      </c>
      <c r="E158" t="inlineStr">
        <is>
          <t>ASKERSUND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51781-2019</t>
        </is>
      </c>
      <c r="B159" s="1" t="n">
        <v>43741</v>
      </c>
      <c r="C159" s="1" t="n">
        <v>45821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52804-2019</t>
        </is>
      </c>
      <c r="B160" s="1" t="n">
        <v>43746</v>
      </c>
      <c r="C160" s="1" t="n">
        <v>45821</v>
      </c>
      <c r="D160" t="inlineStr">
        <is>
          <t>ÖREBRO LÄN</t>
        </is>
      </c>
      <c r="E160" t="inlineStr">
        <is>
          <t>ASKERSUND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53382-2019</t>
        </is>
      </c>
      <c r="B161" s="1" t="n">
        <v>43748</v>
      </c>
      <c r="C161" s="1" t="n">
        <v>45821</v>
      </c>
      <c r="D161" t="inlineStr">
        <is>
          <t>ÖREBRO LÄN</t>
        </is>
      </c>
      <c r="E161" t="inlineStr">
        <is>
          <t>ASKERSUND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53723-2019</t>
        </is>
      </c>
      <c r="B162" s="1" t="n">
        <v>43749</v>
      </c>
      <c r="C162" s="1" t="n">
        <v>45821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54886-2019</t>
        </is>
      </c>
      <c r="B163" s="1" t="n">
        <v>43749</v>
      </c>
      <c r="C163" s="1" t="n">
        <v>45821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54710-2019</t>
        </is>
      </c>
      <c r="B164" s="1" t="n">
        <v>43755</v>
      </c>
      <c r="C164" s="1" t="n">
        <v>45821</v>
      </c>
      <c r="D164" t="inlineStr">
        <is>
          <t>ÖREBRO LÄN</t>
        </is>
      </c>
      <c r="E164" t="inlineStr">
        <is>
          <t>ASKERSUND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55384-2019</t>
        </is>
      </c>
      <c r="B165" s="1" t="n">
        <v>43755</v>
      </c>
      <c r="C165" s="1" t="n">
        <v>45821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55383-2019</t>
        </is>
      </c>
      <c r="B166" s="1" t="n">
        <v>43755</v>
      </c>
      <c r="C166" s="1" t="n">
        <v>45821</v>
      </c>
      <c r="D166" t="inlineStr">
        <is>
          <t>ÖREBRO LÄN</t>
        </is>
      </c>
      <c r="E166" t="inlineStr">
        <is>
          <t>ASKERSUND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55060-2019</t>
        </is>
      </c>
      <c r="B167" s="1" t="n">
        <v>43756</v>
      </c>
      <c r="C167" s="1" t="n">
        <v>45821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55244-2019</t>
        </is>
      </c>
      <c r="B168" s="1" t="n">
        <v>43756</v>
      </c>
      <c r="C168" s="1" t="n">
        <v>45821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55753-2019</t>
        </is>
      </c>
      <c r="B169" s="1" t="n">
        <v>43759</v>
      </c>
      <c r="C169" s="1" t="n">
        <v>45821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56647-2019</t>
        </is>
      </c>
      <c r="B170" s="1" t="n">
        <v>43763</v>
      </c>
      <c r="C170" s="1" t="n">
        <v>45821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57584-2019</t>
        </is>
      </c>
      <c r="B171" s="1" t="n">
        <v>43768</v>
      </c>
      <c r="C171" s="1" t="n">
        <v>45821</v>
      </c>
      <c r="D171" t="inlineStr">
        <is>
          <t>ÖREBRO LÄN</t>
        </is>
      </c>
      <c r="E171" t="inlineStr">
        <is>
          <t>ASKERSUND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58621-2019</t>
        </is>
      </c>
      <c r="B172" s="1" t="n">
        <v>43773</v>
      </c>
      <c r="C172" s="1" t="n">
        <v>45821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58623-2019</t>
        </is>
      </c>
      <c r="B173" s="1" t="n">
        <v>43773</v>
      </c>
      <c r="C173" s="1" t="n">
        <v>45821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59012-2019</t>
        </is>
      </c>
      <c r="B174" s="1" t="n">
        <v>43774</v>
      </c>
      <c r="C174" s="1" t="n">
        <v>45821</v>
      </c>
      <c r="D174" t="inlineStr">
        <is>
          <t>ÖREBRO LÄN</t>
        </is>
      </c>
      <c r="E174" t="inlineStr">
        <is>
          <t>ASKERSUND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59356-2019</t>
        </is>
      </c>
      <c r="B175" s="1" t="n">
        <v>43775</v>
      </c>
      <c r="C175" s="1" t="n">
        <v>45821</v>
      </c>
      <c r="D175" t="inlineStr">
        <is>
          <t>ÖREBRO LÄN</t>
        </is>
      </c>
      <c r="E175" t="inlineStr">
        <is>
          <t>ASKERSUND</t>
        </is>
      </c>
      <c r="F175" t="inlineStr">
        <is>
          <t>Kommuner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60183-2019</t>
        </is>
      </c>
      <c r="B176" s="1" t="n">
        <v>43780</v>
      </c>
      <c r="C176" s="1" t="n">
        <v>45821</v>
      </c>
      <c r="D176" t="inlineStr">
        <is>
          <t>ÖREBRO LÄN</t>
        </is>
      </c>
      <c r="E176" t="inlineStr">
        <is>
          <t>ASKERSUND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60435-2019</t>
        </is>
      </c>
      <c r="B177" s="1" t="n">
        <v>43780</v>
      </c>
      <c r="C177" s="1" t="n">
        <v>45821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61639-2019</t>
        </is>
      </c>
      <c r="B178" s="1" t="n">
        <v>43784</v>
      </c>
      <c r="C178" s="1" t="n">
        <v>45821</v>
      </c>
      <c r="D178" t="inlineStr">
        <is>
          <t>ÖREBRO LÄN</t>
        </is>
      </c>
      <c r="E178" t="inlineStr">
        <is>
          <t>ASKERSUND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62012-2019</t>
        </is>
      </c>
      <c r="B179" s="1" t="n">
        <v>43787</v>
      </c>
      <c r="C179" s="1" t="n">
        <v>45821</v>
      </c>
      <c r="D179" t="inlineStr">
        <is>
          <t>ÖREBRO LÄN</t>
        </is>
      </c>
      <c r="E179" t="inlineStr">
        <is>
          <t>ASKERSUND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62102-2019</t>
        </is>
      </c>
      <c r="B180" s="1" t="n">
        <v>43787</v>
      </c>
      <c r="C180" s="1" t="n">
        <v>45821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62789-2019</t>
        </is>
      </c>
      <c r="B181" s="1" t="n">
        <v>43790</v>
      </c>
      <c r="C181" s="1" t="n">
        <v>45821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62770-2019</t>
        </is>
      </c>
      <c r="B182" s="1" t="n">
        <v>43790</v>
      </c>
      <c r="C182" s="1" t="n">
        <v>45821</v>
      </c>
      <c r="D182" t="inlineStr">
        <is>
          <t>ÖREBRO LÄN</t>
        </is>
      </c>
      <c r="E182" t="inlineStr">
        <is>
          <t>ASKERSUND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63502-2019</t>
        </is>
      </c>
      <c r="B183" s="1" t="n">
        <v>43794</v>
      </c>
      <c r="C183" s="1" t="n">
        <v>45821</v>
      </c>
      <c r="D183" t="inlineStr">
        <is>
          <t>ÖREBRO LÄN</t>
        </is>
      </c>
      <c r="E183" t="inlineStr">
        <is>
          <t>ASKERSUND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63499-2019</t>
        </is>
      </c>
      <c r="B184" s="1" t="n">
        <v>43794</v>
      </c>
      <c r="C184" s="1" t="n">
        <v>45821</v>
      </c>
      <c r="D184" t="inlineStr">
        <is>
          <t>ÖREBRO LÄN</t>
        </is>
      </c>
      <c r="E184" t="inlineStr">
        <is>
          <t>ASKERSUND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64917-2019</t>
        </is>
      </c>
      <c r="B185" s="1" t="n">
        <v>43801</v>
      </c>
      <c r="C185" s="1" t="n">
        <v>45821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64883-2019</t>
        </is>
      </c>
      <c r="B186" s="1" t="n">
        <v>43801</v>
      </c>
      <c r="C186" s="1" t="n">
        <v>45821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65486-2019</t>
        </is>
      </c>
      <c r="B187" s="1" t="n">
        <v>43803</v>
      </c>
      <c r="C187" s="1" t="n">
        <v>45821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65488-2019</t>
        </is>
      </c>
      <c r="B188" s="1" t="n">
        <v>43803</v>
      </c>
      <c r="C188" s="1" t="n">
        <v>45821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67029-2019</t>
        </is>
      </c>
      <c r="B189" s="1" t="n">
        <v>43811</v>
      </c>
      <c r="C189" s="1" t="n">
        <v>45821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1012-2020</t>
        </is>
      </c>
      <c r="B190" s="1" t="n">
        <v>43839</v>
      </c>
      <c r="C190" s="1" t="n">
        <v>45821</v>
      </c>
      <c r="D190" t="inlineStr">
        <is>
          <t>ÖREBRO LÄN</t>
        </is>
      </c>
      <c r="E190" t="inlineStr">
        <is>
          <t>ASKERSUND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1174-2020</t>
        </is>
      </c>
      <c r="B191" s="1" t="n">
        <v>43840</v>
      </c>
      <c r="C191" s="1" t="n">
        <v>45821</v>
      </c>
      <c r="D191" t="inlineStr">
        <is>
          <t>ÖREBRO LÄN</t>
        </is>
      </c>
      <c r="E191" t="inlineStr">
        <is>
          <t>ASKERSUND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3154-2020</t>
        </is>
      </c>
      <c r="B192" s="1" t="n">
        <v>43843</v>
      </c>
      <c r="C192" s="1" t="n">
        <v>45821</v>
      </c>
      <c r="D192" t="inlineStr">
        <is>
          <t>ÖREBRO LÄN</t>
        </is>
      </c>
      <c r="E192" t="inlineStr">
        <is>
          <t>ASKERSUND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1651-2020</t>
        </is>
      </c>
      <c r="B193" s="1" t="n">
        <v>43844</v>
      </c>
      <c r="C193" s="1" t="n">
        <v>45821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2784-2020</t>
        </is>
      </c>
      <c r="B194" s="1" t="n">
        <v>43850</v>
      </c>
      <c r="C194" s="1" t="n">
        <v>45821</v>
      </c>
      <c r="D194" t="inlineStr">
        <is>
          <t>ÖREBRO LÄN</t>
        </is>
      </c>
      <c r="E194" t="inlineStr">
        <is>
          <t>ASKERSUND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4686-2020</t>
        </is>
      </c>
      <c r="B195" s="1" t="n">
        <v>43852</v>
      </c>
      <c r="C195" s="1" t="n">
        <v>45821</v>
      </c>
      <c r="D195" t="inlineStr">
        <is>
          <t>ÖREBRO LÄN</t>
        </is>
      </c>
      <c r="E195" t="inlineStr">
        <is>
          <t>ASKERSUND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4846-2020</t>
        </is>
      </c>
      <c r="B196" s="1" t="n">
        <v>43852</v>
      </c>
      <c r="C196" s="1" t="n">
        <v>45821</v>
      </c>
      <c r="D196" t="inlineStr">
        <is>
          <t>ÖREBRO LÄN</t>
        </is>
      </c>
      <c r="E196" t="inlineStr">
        <is>
          <t>ASKERSUND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5696-2020</t>
        </is>
      </c>
      <c r="B197" s="1" t="n">
        <v>43861</v>
      </c>
      <c r="C197" s="1" t="n">
        <v>45821</v>
      </c>
      <c r="D197" t="inlineStr">
        <is>
          <t>ÖREBRO LÄN</t>
        </is>
      </c>
      <c r="E197" t="inlineStr">
        <is>
          <t>ASKERSUND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9501-2020</t>
        </is>
      </c>
      <c r="B198" s="1" t="n">
        <v>43880</v>
      </c>
      <c r="C198" s="1" t="n">
        <v>45821</v>
      </c>
      <c r="D198" t="inlineStr">
        <is>
          <t>ÖREBRO LÄN</t>
        </is>
      </c>
      <c r="E198" t="inlineStr">
        <is>
          <t>ASKERSUND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10089-2020</t>
        </is>
      </c>
      <c r="B199" s="1" t="n">
        <v>43885</v>
      </c>
      <c r="C199" s="1" t="n">
        <v>45821</v>
      </c>
      <c r="D199" t="inlineStr">
        <is>
          <t>ÖREBRO LÄN</t>
        </is>
      </c>
      <c r="E199" t="inlineStr">
        <is>
          <t>ASKERSUND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13146-2020</t>
        </is>
      </c>
      <c r="B200" s="1" t="n">
        <v>43901</v>
      </c>
      <c r="C200" s="1" t="n">
        <v>45821</v>
      </c>
      <c r="D200" t="inlineStr">
        <is>
          <t>ÖREBRO LÄN</t>
        </is>
      </c>
      <c r="E200" t="inlineStr">
        <is>
          <t>ASKERSUND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13242-2020</t>
        </is>
      </c>
      <c r="B201" s="1" t="n">
        <v>43901</v>
      </c>
      <c r="C201" s="1" t="n">
        <v>45821</v>
      </c>
      <c r="D201" t="inlineStr">
        <is>
          <t>ÖREBRO LÄN</t>
        </is>
      </c>
      <c r="E201" t="inlineStr">
        <is>
          <t>ASKERSUND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14913-2020</t>
        </is>
      </c>
      <c r="B202" s="1" t="n">
        <v>43906</v>
      </c>
      <c r="C202" s="1" t="n">
        <v>45821</v>
      </c>
      <c r="D202" t="inlineStr">
        <is>
          <t>ÖREBRO LÄN</t>
        </is>
      </c>
      <c r="E202" t="inlineStr">
        <is>
          <t>ASKERSUND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14377-2020</t>
        </is>
      </c>
      <c r="B203" s="1" t="n">
        <v>43908</v>
      </c>
      <c r="C203" s="1" t="n">
        <v>45821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14379-2020</t>
        </is>
      </c>
      <c r="B204" s="1" t="n">
        <v>43908</v>
      </c>
      <c r="C204" s="1" t="n">
        <v>45821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17113-2020</t>
        </is>
      </c>
      <c r="B205" s="1" t="n">
        <v>43922</v>
      </c>
      <c r="C205" s="1" t="n">
        <v>45821</v>
      </c>
      <c r="D205" t="inlineStr">
        <is>
          <t>ÖREBRO LÄN</t>
        </is>
      </c>
      <c r="E205" t="inlineStr">
        <is>
          <t>ASKERSUND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17864-2020</t>
        </is>
      </c>
      <c r="B206" s="1" t="n">
        <v>43924</v>
      </c>
      <c r="C206" s="1" t="n">
        <v>45821</v>
      </c>
      <c r="D206" t="inlineStr">
        <is>
          <t>ÖREBRO LÄN</t>
        </is>
      </c>
      <c r="E206" t="inlineStr">
        <is>
          <t>ASKERSUND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18044-2020</t>
        </is>
      </c>
      <c r="B207" s="1" t="n">
        <v>43927</v>
      </c>
      <c r="C207" s="1" t="n">
        <v>45821</v>
      </c>
      <c r="D207" t="inlineStr">
        <is>
          <t>ÖREBRO LÄN</t>
        </is>
      </c>
      <c r="E207" t="inlineStr">
        <is>
          <t>ASKERSUND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18293-2020</t>
        </is>
      </c>
      <c r="B208" s="1" t="n">
        <v>43928</v>
      </c>
      <c r="C208" s="1" t="n">
        <v>45821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18290-2020</t>
        </is>
      </c>
      <c r="B209" s="1" t="n">
        <v>43928</v>
      </c>
      <c r="C209" s="1" t="n">
        <v>45821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18243-2020</t>
        </is>
      </c>
      <c r="B210" s="1" t="n">
        <v>43928</v>
      </c>
      <c r="C210" s="1" t="n">
        <v>45821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18311-2020</t>
        </is>
      </c>
      <c r="B211" s="1" t="n">
        <v>43928</v>
      </c>
      <c r="C211" s="1" t="n">
        <v>45821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18807-2020</t>
        </is>
      </c>
      <c r="B212" s="1" t="n">
        <v>43934</v>
      </c>
      <c r="C212" s="1" t="n">
        <v>45821</v>
      </c>
      <c r="D212" t="inlineStr">
        <is>
          <t>ÖREBRO LÄN</t>
        </is>
      </c>
      <c r="E212" t="inlineStr">
        <is>
          <t>ASKERSUND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19053-2020</t>
        </is>
      </c>
      <c r="B213" s="1" t="n">
        <v>43936</v>
      </c>
      <c r="C213" s="1" t="n">
        <v>45821</v>
      </c>
      <c r="D213" t="inlineStr">
        <is>
          <t>ÖREBRO LÄN</t>
        </is>
      </c>
      <c r="E213" t="inlineStr">
        <is>
          <t>ASKERSUND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19050-2020</t>
        </is>
      </c>
      <c r="B214" s="1" t="n">
        <v>43936</v>
      </c>
      <c r="C214" s="1" t="n">
        <v>45821</v>
      </c>
      <c r="D214" t="inlineStr">
        <is>
          <t>ÖREBRO LÄN</t>
        </is>
      </c>
      <c r="E214" t="inlineStr">
        <is>
          <t>ASKERSUND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19416-2020</t>
        </is>
      </c>
      <c r="B215" s="1" t="n">
        <v>43938</v>
      </c>
      <c r="C215" s="1" t="n">
        <v>45821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19447-2020</t>
        </is>
      </c>
      <c r="B216" s="1" t="n">
        <v>43938</v>
      </c>
      <c r="C216" s="1" t="n">
        <v>45821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19540-2020</t>
        </is>
      </c>
      <c r="B217" s="1" t="n">
        <v>43941</v>
      </c>
      <c r="C217" s="1" t="n">
        <v>45821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20312-2020</t>
        </is>
      </c>
      <c r="B218" s="1" t="n">
        <v>43945</v>
      </c>
      <c r="C218" s="1" t="n">
        <v>45821</v>
      </c>
      <c r="D218" t="inlineStr">
        <is>
          <t>ÖREBRO LÄN</t>
        </is>
      </c>
      <c r="E218" t="inlineStr">
        <is>
          <t>ASKERSUND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21296-2020</t>
        </is>
      </c>
      <c r="B219" s="1" t="n">
        <v>43955</v>
      </c>
      <c r="C219" s="1" t="n">
        <v>45821</v>
      </c>
      <c r="D219" t="inlineStr">
        <is>
          <t>ÖREBRO LÄN</t>
        </is>
      </c>
      <c r="E219" t="inlineStr">
        <is>
          <t>ASKERSUND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21779-2020</t>
        </is>
      </c>
      <c r="B220" s="1" t="n">
        <v>43958</v>
      </c>
      <c r="C220" s="1" t="n">
        <v>45821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22481-2020</t>
        </is>
      </c>
      <c r="B221" s="1" t="n">
        <v>43963</v>
      </c>
      <c r="C221" s="1" t="n">
        <v>45821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22479-2020</t>
        </is>
      </c>
      <c r="B222" s="1" t="n">
        <v>43963</v>
      </c>
      <c r="C222" s="1" t="n">
        <v>45821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22476-2020</t>
        </is>
      </c>
      <c r="B223" s="1" t="n">
        <v>43963</v>
      </c>
      <c r="C223" s="1" t="n">
        <v>45821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22487-2020</t>
        </is>
      </c>
      <c r="B224" s="1" t="n">
        <v>43963</v>
      </c>
      <c r="C224" s="1" t="n">
        <v>45821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23479-2020</t>
        </is>
      </c>
      <c r="B225" s="1" t="n">
        <v>43969</v>
      </c>
      <c r="C225" s="1" t="n">
        <v>45821</v>
      </c>
      <c r="D225" t="inlineStr">
        <is>
          <t>ÖREBRO LÄN</t>
        </is>
      </c>
      <c r="E225" t="inlineStr">
        <is>
          <t>ASKERSUND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23591-2020</t>
        </is>
      </c>
      <c r="B226" s="1" t="n">
        <v>43969</v>
      </c>
      <c r="C226" s="1" t="n">
        <v>45821</v>
      </c>
      <c r="D226" t="inlineStr">
        <is>
          <t>ÖREBRO LÄN</t>
        </is>
      </c>
      <c r="E226" t="inlineStr">
        <is>
          <t>ASKERSUND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23698-2020</t>
        </is>
      </c>
      <c r="B227" s="1" t="n">
        <v>43970</v>
      </c>
      <c r="C227" s="1" t="n">
        <v>45821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23919-2020</t>
        </is>
      </c>
      <c r="B228" s="1" t="n">
        <v>43971</v>
      </c>
      <c r="C228" s="1" t="n">
        <v>45821</v>
      </c>
      <c r="D228" t="inlineStr">
        <is>
          <t>ÖREBRO LÄN</t>
        </is>
      </c>
      <c r="E228" t="inlineStr">
        <is>
          <t>ASKERSUND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24239-2020</t>
        </is>
      </c>
      <c r="B229" s="1" t="n">
        <v>43976</v>
      </c>
      <c r="C229" s="1" t="n">
        <v>45821</v>
      </c>
      <c r="D229" t="inlineStr">
        <is>
          <t>ÖREBRO LÄN</t>
        </is>
      </c>
      <c r="E229" t="inlineStr">
        <is>
          <t>ASKERSUND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25650-2020</t>
        </is>
      </c>
      <c r="B230" s="1" t="n">
        <v>43983</v>
      </c>
      <c r="C230" s="1" t="n">
        <v>45821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25648-2020</t>
        </is>
      </c>
      <c r="B231" s="1" t="n">
        <v>43983</v>
      </c>
      <c r="C231" s="1" t="n">
        <v>45821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25884-2020</t>
        </is>
      </c>
      <c r="B232" s="1" t="n">
        <v>43984</v>
      </c>
      <c r="C232" s="1" t="n">
        <v>45821</v>
      </c>
      <c r="D232" t="inlineStr">
        <is>
          <t>ÖREBRO LÄN</t>
        </is>
      </c>
      <c r="E232" t="inlineStr">
        <is>
          <t>ASKERSUND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26870-2020</t>
        </is>
      </c>
      <c r="B233" s="1" t="n">
        <v>43987</v>
      </c>
      <c r="C233" s="1" t="n">
        <v>45821</v>
      </c>
      <c r="D233" t="inlineStr">
        <is>
          <t>ÖREBRO LÄN</t>
        </is>
      </c>
      <c r="E233" t="inlineStr">
        <is>
          <t>ASKERSUND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26554-2020</t>
        </is>
      </c>
      <c r="B234" s="1" t="n">
        <v>43987</v>
      </c>
      <c r="C234" s="1" t="n">
        <v>45821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26874-2020</t>
        </is>
      </c>
      <c r="B235" s="1" t="n">
        <v>43987</v>
      </c>
      <c r="C235" s="1" t="n">
        <v>45821</v>
      </c>
      <c r="D235" t="inlineStr">
        <is>
          <t>ÖREBRO LÄN</t>
        </is>
      </c>
      <c r="E235" t="inlineStr">
        <is>
          <t>ASKERSUND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27378-2020</t>
        </is>
      </c>
      <c r="B236" s="1" t="n">
        <v>43992</v>
      </c>
      <c r="C236" s="1" t="n">
        <v>45821</v>
      </c>
      <c r="D236" t="inlineStr">
        <is>
          <t>ÖREBRO LÄN</t>
        </is>
      </c>
      <c r="E236" t="inlineStr">
        <is>
          <t>ASKERSUND</t>
        </is>
      </c>
      <c r="G236" t="n">
        <v>38.3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28145-2020</t>
        </is>
      </c>
      <c r="B237" s="1" t="n">
        <v>43997</v>
      </c>
      <c r="C237" s="1" t="n">
        <v>45821</v>
      </c>
      <c r="D237" t="inlineStr">
        <is>
          <t>ÖREBRO LÄN</t>
        </is>
      </c>
      <c r="E237" t="inlineStr">
        <is>
          <t>ASKERSUND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HYPERLINK("https://klasma.github.io/Logging_1882/knärot/A 28145-2020 karta knärot.png", "A 28145-2020")</f>
        <v/>
      </c>
      <c r="V237">
        <f>HYPERLINK("https://klasma.github.io/Logging_1882/klagomål/A 28145-2020 FSC-klagomål.docx", "A 28145-2020")</f>
        <v/>
      </c>
      <c r="W237">
        <f>HYPERLINK("https://klasma.github.io/Logging_1882/klagomålsmail/A 28145-2020 FSC-klagomål mail.docx", "A 28145-2020")</f>
        <v/>
      </c>
      <c r="X237">
        <f>HYPERLINK("https://klasma.github.io/Logging_1882/tillsyn/A 28145-2020 tillsynsbegäran.docx", "A 28145-2020")</f>
        <v/>
      </c>
      <c r="Y237">
        <f>HYPERLINK("https://klasma.github.io/Logging_1882/tillsynsmail/A 28145-2020 tillsynsbegäran mail.docx", "A 28145-2020")</f>
        <v/>
      </c>
    </row>
    <row r="238" ht="15" customHeight="1">
      <c r="A238" t="inlineStr">
        <is>
          <t>A 29546-2020</t>
        </is>
      </c>
      <c r="B238" s="1" t="n">
        <v>44004</v>
      </c>
      <c r="C238" s="1" t="n">
        <v>45821</v>
      </c>
      <c r="D238" t="inlineStr">
        <is>
          <t>ÖREBRO LÄN</t>
        </is>
      </c>
      <c r="E238" t="inlineStr">
        <is>
          <t>ASKERSUND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29733-2020</t>
        </is>
      </c>
      <c r="B239" s="1" t="n">
        <v>44005</v>
      </c>
      <c r="C239" s="1" t="n">
        <v>45821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29731-2020</t>
        </is>
      </c>
      <c r="B240" s="1" t="n">
        <v>44005</v>
      </c>
      <c r="C240" s="1" t="n">
        <v>45821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29724-2020</t>
        </is>
      </c>
      <c r="B241" s="1" t="n">
        <v>44005</v>
      </c>
      <c r="C241" s="1" t="n">
        <v>45821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30514-2020</t>
        </is>
      </c>
      <c r="B242" s="1" t="n">
        <v>44008</v>
      </c>
      <c r="C242" s="1" t="n">
        <v>45821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31707-2020</t>
        </is>
      </c>
      <c r="B243" s="1" t="n">
        <v>44014</v>
      </c>
      <c r="C243" s="1" t="n">
        <v>45821</v>
      </c>
      <c r="D243" t="inlineStr">
        <is>
          <t>ÖREBRO LÄN</t>
        </is>
      </c>
      <c r="E243" t="inlineStr">
        <is>
          <t>ASKERSUND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32409-2020</t>
        </is>
      </c>
      <c r="B244" s="1" t="n">
        <v>44018</v>
      </c>
      <c r="C244" s="1" t="n">
        <v>45821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32406-2020</t>
        </is>
      </c>
      <c r="B245" s="1" t="n">
        <v>44018</v>
      </c>
      <c r="C245" s="1" t="n">
        <v>45821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32823-2020</t>
        </is>
      </c>
      <c r="B246" s="1" t="n">
        <v>44020</v>
      </c>
      <c r="C246" s="1" t="n">
        <v>45821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34359-2020</t>
        </is>
      </c>
      <c r="B247" s="1" t="n">
        <v>44032</v>
      </c>
      <c r="C247" s="1" t="n">
        <v>45821</v>
      </c>
      <c r="D247" t="inlineStr">
        <is>
          <t>ÖREBRO LÄN</t>
        </is>
      </c>
      <c r="E247" t="inlineStr">
        <is>
          <t>ASKERSUND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34997-2020</t>
        </is>
      </c>
      <c r="B248" s="1" t="n">
        <v>44039</v>
      </c>
      <c r="C248" s="1" t="n">
        <v>45821</v>
      </c>
      <c r="D248" t="inlineStr">
        <is>
          <t>ÖREBRO LÄN</t>
        </is>
      </c>
      <c r="E248" t="inlineStr">
        <is>
          <t>ASKERSUND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35009-2020</t>
        </is>
      </c>
      <c r="B249" s="1" t="n">
        <v>44039</v>
      </c>
      <c r="C249" s="1" t="n">
        <v>45821</v>
      </c>
      <c r="D249" t="inlineStr">
        <is>
          <t>ÖREBRO LÄN</t>
        </is>
      </c>
      <c r="E249" t="inlineStr">
        <is>
          <t>ASKERSUND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35770-2020</t>
        </is>
      </c>
      <c r="B250" s="1" t="n">
        <v>44046</v>
      </c>
      <c r="C250" s="1" t="n">
        <v>45821</v>
      </c>
      <c r="D250" t="inlineStr">
        <is>
          <t>ÖREBRO LÄN</t>
        </is>
      </c>
      <c r="E250" t="inlineStr">
        <is>
          <t>ASKERSUND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37846-2020</t>
        </is>
      </c>
      <c r="B251" s="1" t="n">
        <v>44057</v>
      </c>
      <c r="C251" s="1" t="n">
        <v>45821</v>
      </c>
      <c r="D251" t="inlineStr">
        <is>
          <t>ÖREBRO LÄN</t>
        </is>
      </c>
      <c r="E251" t="inlineStr">
        <is>
          <t>ASKERSUND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37890-2020</t>
        </is>
      </c>
      <c r="B252" s="1" t="n">
        <v>44057</v>
      </c>
      <c r="C252" s="1" t="n">
        <v>45821</v>
      </c>
      <c r="D252" t="inlineStr">
        <is>
          <t>ÖREBRO LÄN</t>
        </is>
      </c>
      <c r="E252" t="inlineStr">
        <is>
          <t>ASKERSUND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38109-2020</t>
        </is>
      </c>
      <c r="B253" s="1" t="n">
        <v>44058</v>
      </c>
      <c r="C253" s="1" t="n">
        <v>45821</v>
      </c>
      <c r="D253" t="inlineStr">
        <is>
          <t>ÖREBRO LÄN</t>
        </is>
      </c>
      <c r="E253" t="inlineStr">
        <is>
          <t>ASKERSUND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38176-2020</t>
        </is>
      </c>
      <c r="B254" s="1" t="n">
        <v>44060</v>
      </c>
      <c r="C254" s="1" t="n">
        <v>45821</v>
      </c>
      <c r="D254" t="inlineStr">
        <is>
          <t>ÖREBRO LÄN</t>
        </is>
      </c>
      <c r="E254" t="inlineStr">
        <is>
          <t>ASKERSUND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38184-2020</t>
        </is>
      </c>
      <c r="B255" s="1" t="n">
        <v>44060</v>
      </c>
      <c r="C255" s="1" t="n">
        <v>45821</v>
      </c>
      <c r="D255" t="inlineStr">
        <is>
          <t>ÖREBRO LÄN</t>
        </is>
      </c>
      <c r="E255" t="inlineStr">
        <is>
          <t>ASKERSUND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38251-2020</t>
        </is>
      </c>
      <c r="B256" s="1" t="n">
        <v>44060</v>
      </c>
      <c r="C256" s="1" t="n">
        <v>45821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38247-2020</t>
        </is>
      </c>
      <c r="B257" s="1" t="n">
        <v>44060</v>
      </c>
      <c r="C257" s="1" t="n">
        <v>45821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38922-2020</t>
        </is>
      </c>
      <c r="B258" s="1" t="n">
        <v>44062</v>
      </c>
      <c r="C258" s="1" t="n">
        <v>45821</v>
      </c>
      <c r="D258" t="inlineStr">
        <is>
          <t>ÖREBRO LÄN</t>
        </is>
      </c>
      <c r="E258" t="inlineStr">
        <is>
          <t>ASKERSUND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39926-2020</t>
        </is>
      </c>
      <c r="B259" s="1" t="n">
        <v>44064</v>
      </c>
      <c r="C259" s="1" t="n">
        <v>45821</v>
      </c>
      <c r="D259" t="inlineStr">
        <is>
          <t>ÖREBRO LÄN</t>
        </is>
      </c>
      <c r="E259" t="inlineStr">
        <is>
          <t>ASKERSUND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40883-2020</t>
        </is>
      </c>
      <c r="B260" s="1" t="n">
        <v>44070</v>
      </c>
      <c r="C260" s="1" t="n">
        <v>45821</v>
      </c>
      <c r="D260" t="inlineStr">
        <is>
          <t>ÖREBRO LÄN</t>
        </is>
      </c>
      <c r="E260" t="inlineStr">
        <is>
          <t>ASKERSUND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41248-2020</t>
        </is>
      </c>
      <c r="B261" s="1" t="n">
        <v>44071</v>
      </c>
      <c r="C261" s="1" t="n">
        <v>45821</v>
      </c>
      <c r="D261" t="inlineStr">
        <is>
          <t>ÖREBRO LÄN</t>
        </is>
      </c>
      <c r="E261" t="inlineStr">
        <is>
          <t>ASKERSUND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41996-2020</t>
        </is>
      </c>
      <c r="B262" s="1" t="n">
        <v>44075</v>
      </c>
      <c r="C262" s="1" t="n">
        <v>45821</v>
      </c>
      <c r="D262" t="inlineStr">
        <is>
          <t>ÖREBRO LÄN</t>
        </is>
      </c>
      <c r="E262" t="inlineStr">
        <is>
          <t>ASKERSUND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42001-2020</t>
        </is>
      </c>
      <c r="B263" s="1" t="n">
        <v>44075</v>
      </c>
      <c r="C263" s="1" t="n">
        <v>45821</v>
      </c>
      <c r="D263" t="inlineStr">
        <is>
          <t>ÖREBRO LÄN</t>
        </is>
      </c>
      <c r="E263" t="inlineStr">
        <is>
          <t>ASKERSUND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42646-2020</t>
        </is>
      </c>
      <c r="B264" s="1" t="n">
        <v>44077</v>
      </c>
      <c r="C264" s="1" t="n">
        <v>45821</v>
      </c>
      <c r="D264" t="inlineStr">
        <is>
          <t>ÖREBRO LÄN</t>
        </is>
      </c>
      <c r="E264" t="inlineStr">
        <is>
          <t>ASKERSUND</t>
        </is>
      </c>
      <c r="G264" t="n">
        <v>13.6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42642-2020</t>
        </is>
      </c>
      <c r="B265" s="1" t="n">
        <v>44077</v>
      </c>
      <c r="C265" s="1" t="n">
        <v>45821</v>
      </c>
      <c r="D265" t="inlineStr">
        <is>
          <t>ÖREBRO LÄN</t>
        </is>
      </c>
      <c r="E265" t="inlineStr">
        <is>
          <t>ASKERSUND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44159-2020</t>
        </is>
      </c>
      <c r="B266" s="1" t="n">
        <v>44083</v>
      </c>
      <c r="C266" s="1" t="n">
        <v>45821</v>
      </c>
      <c r="D266" t="inlineStr">
        <is>
          <t>ÖREBRO LÄN</t>
        </is>
      </c>
      <c r="E266" t="inlineStr">
        <is>
          <t>ASKERSUND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44299-2020</t>
        </is>
      </c>
      <c r="B267" s="1" t="n">
        <v>44084</v>
      </c>
      <c r="C267" s="1" t="n">
        <v>45821</v>
      </c>
      <c r="D267" t="inlineStr">
        <is>
          <t>ÖREBRO LÄN</t>
        </is>
      </c>
      <c r="E267" t="inlineStr">
        <is>
          <t>ASKERSUND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44332-2020</t>
        </is>
      </c>
      <c r="B268" s="1" t="n">
        <v>44084</v>
      </c>
      <c r="C268" s="1" t="n">
        <v>45821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44340-2020</t>
        </is>
      </c>
      <c r="B269" s="1" t="n">
        <v>44084</v>
      </c>
      <c r="C269" s="1" t="n">
        <v>45821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44336-2020</t>
        </is>
      </c>
      <c r="B270" s="1" t="n">
        <v>44084</v>
      </c>
      <c r="C270" s="1" t="n">
        <v>45821</v>
      </c>
      <c r="D270" t="inlineStr">
        <is>
          <t>ÖREBRO LÄN</t>
        </is>
      </c>
      <c r="E270" t="inlineStr">
        <is>
          <t>ASKERSUND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44850-2020</t>
        </is>
      </c>
      <c r="B271" s="1" t="n">
        <v>44087</v>
      </c>
      <c r="C271" s="1" t="n">
        <v>45821</v>
      </c>
      <c r="D271" t="inlineStr">
        <is>
          <t>ÖREBRO LÄN</t>
        </is>
      </c>
      <c r="E271" t="inlineStr">
        <is>
          <t>ASKERSUND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46001-2020</t>
        </is>
      </c>
      <c r="B272" s="1" t="n">
        <v>44088</v>
      </c>
      <c r="C272" s="1" t="n">
        <v>45821</v>
      </c>
      <c r="D272" t="inlineStr">
        <is>
          <t>ÖREBRO LÄN</t>
        </is>
      </c>
      <c r="E272" t="inlineStr">
        <is>
          <t>ASKERSUND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46012-2020</t>
        </is>
      </c>
      <c r="B273" s="1" t="n">
        <v>44088</v>
      </c>
      <c r="C273" s="1" t="n">
        <v>45821</v>
      </c>
      <c r="D273" t="inlineStr">
        <is>
          <t>ÖREBRO LÄN</t>
        </is>
      </c>
      <c r="E273" t="inlineStr">
        <is>
          <t>ASKERSUND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46259-2020</t>
        </is>
      </c>
      <c r="B274" s="1" t="n">
        <v>44092</v>
      </c>
      <c r="C274" s="1" t="n">
        <v>45821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46649-2020</t>
        </is>
      </c>
      <c r="B275" s="1" t="n">
        <v>44095</v>
      </c>
      <c r="C275" s="1" t="n">
        <v>45821</v>
      </c>
      <c r="D275" t="inlineStr">
        <is>
          <t>ÖREBRO LÄN</t>
        </is>
      </c>
      <c r="E275" t="inlineStr">
        <is>
          <t>ASKERSUND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47239-2020</t>
        </is>
      </c>
      <c r="B276" s="1" t="n">
        <v>44097</v>
      </c>
      <c r="C276" s="1" t="n">
        <v>45821</v>
      </c>
      <c r="D276" t="inlineStr">
        <is>
          <t>ÖREBRO LÄN</t>
        </is>
      </c>
      <c r="E276" t="inlineStr">
        <is>
          <t>ASKERSUND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47224-2020</t>
        </is>
      </c>
      <c r="B277" s="1" t="n">
        <v>44097</v>
      </c>
      <c r="C277" s="1" t="n">
        <v>45821</v>
      </c>
      <c r="D277" t="inlineStr">
        <is>
          <t>ÖREBRO LÄN</t>
        </is>
      </c>
      <c r="E277" t="inlineStr">
        <is>
          <t>ASKERSUND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48317-2020</t>
        </is>
      </c>
      <c r="B278" s="1" t="n">
        <v>44102</v>
      </c>
      <c r="C278" s="1" t="n">
        <v>45821</v>
      </c>
      <c r="D278" t="inlineStr">
        <is>
          <t>ÖREBRO LÄN</t>
        </is>
      </c>
      <c r="E278" t="inlineStr">
        <is>
          <t>ASKERSUND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48352-2020</t>
        </is>
      </c>
      <c r="B279" s="1" t="n">
        <v>44102</v>
      </c>
      <c r="C279" s="1" t="n">
        <v>45821</v>
      </c>
      <c r="D279" t="inlineStr">
        <is>
          <t>ÖREBRO LÄN</t>
        </is>
      </c>
      <c r="E279" t="inlineStr">
        <is>
          <t>ASKERSUND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50494-2020</t>
        </is>
      </c>
      <c r="B280" s="1" t="n">
        <v>44104</v>
      </c>
      <c r="C280" s="1" t="n">
        <v>45821</v>
      </c>
      <c r="D280" t="inlineStr">
        <is>
          <t>ÖREBRO LÄN</t>
        </is>
      </c>
      <c r="E280" t="inlineStr">
        <is>
          <t>ASKERSUND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49281-2020</t>
        </is>
      </c>
      <c r="B281" s="1" t="n">
        <v>44105</v>
      </c>
      <c r="C281" s="1" t="n">
        <v>45821</v>
      </c>
      <c r="D281" t="inlineStr">
        <is>
          <t>ÖREBRO LÄN</t>
        </is>
      </c>
      <c r="E281" t="inlineStr">
        <is>
          <t>ASKERSUND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51100-2020</t>
        </is>
      </c>
      <c r="B282" s="1" t="n">
        <v>44112</v>
      </c>
      <c r="C282" s="1" t="n">
        <v>45821</v>
      </c>
      <c r="D282" t="inlineStr">
        <is>
          <t>ÖREBRO LÄN</t>
        </is>
      </c>
      <c r="E282" t="inlineStr">
        <is>
          <t>ASKERSUND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51521-2020</t>
        </is>
      </c>
      <c r="B283" s="1" t="n">
        <v>44113</v>
      </c>
      <c r="C283" s="1" t="n">
        <v>45821</v>
      </c>
      <c r="D283" t="inlineStr">
        <is>
          <t>ÖREBRO LÄN</t>
        </is>
      </c>
      <c r="E283" t="inlineStr">
        <is>
          <t>ASKERSUND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52612-2020</t>
        </is>
      </c>
      <c r="B284" s="1" t="n">
        <v>44118</v>
      </c>
      <c r="C284" s="1" t="n">
        <v>45821</v>
      </c>
      <c r="D284" t="inlineStr">
        <is>
          <t>ÖREBRO LÄN</t>
        </is>
      </c>
      <c r="E284" t="inlineStr">
        <is>
          <t>ASKERSUND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53185-2020</t>
        </is>
      </c>
      <c r="B285" s="1" t="n">
        <v>44120</v>
      </c>
      <c r="C285" s="1" t="n">
        <v>45821</v>
      </c>
      <c r="D285" t="inlineStr">
        <is>
          <t>ÖREBRO LÄN</t>
        </is>
      </c>
      <c r="E285" t="inlineStr">
        <is>
          <t>ASKERSUND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53184-2020</t>
        </is>
      </c>
      <c r="B286" s="1" t="n">
        <v>44120</v>
      </c>
      <c r="C286" s="1" t="n">
        <v>45821</v>
      </c>
      <c r="D286" t="inlineStr">
        <is>
          <t>ÖREBRO LÄN</t>
        </is>
      </c>
      <c r="E286" t="inlineStr">
        <is>
          <t>ASKERSUND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54069-2020</t>
        </is>
      </c>
      <c r="B287" s="1" t="n">
        <v>44125</v>
      </c>
      <c r="C287" s="1" t="n">
        <v>45821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54647-2020</t>
        </is>
      </c>
      <c r="B288" s="1" t="n">
        <v>44127</v>
      </c>
      <c r="C288" s="1" t="n">
        <v>45821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55733-2020</t>
        </is>
      </c>
      <c r="B289" s="1" t="n">
        <v>44132</v>
      </c>
      <c r="C289" s="1" t="n">
        <v>45821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56389-2020</t>
        </is>
      </c>
      <c r="B290" s="1" t="n">
        <v>44136</v>
      </c>
      <c r="C290" s="1" t="n">
        <v>45821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57221-2020</t>
        </is>
      </c>
      <c r="B291" s="1" t="n">
        <v>44139</v>
      </c>
      <c r="C291" s="1" t="n">
        <v>45821</v>
      </c>
      <c r="D291" t="inlineStr">
        <is>
          <t>ÖREBRO LÄN</t>
        </is>
      </c>
      <c r="E291" t="inlineStr">
        <is>
          <t>ASKERSUND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57350-2020</t>
        </is>
      </c>
      <c r="B292" s="1" t="n">
        <v>44139</v>
      </c>
      <c r="C292" s="1" t="n">
        <v>45821</v>
      </c>
      <c r="D292" t="inlineStr">
        <is>
          <t>ÖREBRO LÄN</t>
        </is>
      </c>
      <c r="E292" t="inlineStr">
        <is>
          <t>ASKERSUND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57351-2020</t>
        </is>
      </c>
      <c r="B293" s="1" t="n">
        <v>44139</v>
      </c>
      <c r="C293" s="1" t="n">
        <v>45821</v>
      </c>
      <c r="D293" t="inlineStr">
        <is>
          <t>ÖREBRO LÄN</t>
        </is>
      </c>
      <c r="E293" t="inlineStr">
        <is>
          <t>ASKERSUND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58541-2020</t>
        </is>
      </c>
      <c r="B294" s="1" t="n">
        <v>44145</v>
      </c>
      <c r="C294" s="1" t="n">
        <v>45821</v>
      </c>
      <c r="D294" t="inlineStr">
        <is>
          <t>ÖREBRO LÄN</t>
        </is>
      </c>
      <c r="E294" t="inlineStr">
        <is>
          <t>ASKERSUND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59874-2020</t>
        </is>
      </c>
      <c r="B295" s="1" t="n">
        <v>44151</v>
      </c>
      <c r="C295" s="1" t="n">
        <v>45821</v>
      </c>
      <c r="D295" t="inlineStr">
        <is>
          <t>ÖREBRO LÄN</t>
        </is>
      </c>
      <c r="E295" t="inlineStr">
        <is>
          <t>ASKERSUND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59717-2020</t>
        </is>
      </c>
      <c r="B296" s="1" t="n">
        <v>44151</v>
      </c>
      <c r="C296" s="1" t="n">
        <v>45821</v>
      </c>
      <c r="D296" t="inlineStr">
        <is>
          <t>ÖREBRO LÄN</t>
        </is>
      </c>
      <c r="E296" t="inlineStr">
        <is>
          <t>ASKERSUND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59986-2020</t>
        </is>
      </c>
      <c r="B297" s="1" t="n">
        <v>44151</v>
      </c>
      <c r="C297" s="1" t="n">
        <v>45821</v>
      </c>
      <c r="D297" t="inlineStr">
        <is>
          <t>ÖREBRO LÄN</t>
        </is>
      </c>
      <c r="E297" t="inlineStr">
        <is>
          <t>ASKERSUND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59889-2020</t>
        </is>
      </c>
      <c r="B298" s="1" t="n">
        <v>44151</v>
      </c>
      <c r="C298" s="1" t="n">
        <v>45821</v>
      </c>
      <c r="D298" t="inlineStr">
        <is>
          <t>ÖREBRO LÄN</t>
        </is>
      </c>
      <c r="E298" t="inlineStr">
        <is>
          <t>ASKERSUND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59983-2020</t>
        </is>
      </c>
      <c r="B299" s="1" t="n">
        <v>44151</v>
      </c>
      <c r="C299" s="1" t="n">
        <v>45821</v>
      </c>
      <c r="D299" t="inlineStr">
        <is>
          <t>ÖREBRO LÄN</t>
        </is>
      </c>
      <c r="E299" t="inlineStr">
        <is>
          <t>ASKERSUND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60557-2020</t>
        </is>
      </c>
      <c r="B300" s="1" t="n">
        <v>44153</v>
      </c>
      <c r="C300" s="1" t="n">
        <v>45821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63647-2020</t>
        </is>
      </c>
      <c r="B301" s="1" t="n">
        <v>44162</v>
      </c>
      <c r="C301" s="1" t="n">
        <v>45821</v>
      </c>
      <c r="D301" t="inlineStr">
        <is>
          <t>ÖREBRO LÄN</t>
        </is>
      </c>
      <c r="E301" t="inlineStr">
        <is>
          <t>ASKERSUND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64901-2020</t>
        </is>
      </c>
      <c r="B302" s="1" t="n">
        <v>44167</v>
      </c>
      <c r="C302" s="1" t="n">
        <v>45821</v>
      </c>
      <c r="D302" t="inlineStr">
        <is>
          <t>ÖREBRO LÄN</t>
        </is>
      </c>
      <c r="E302" t="inlineStr">
        <is>
          <t>ASKERSUND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64929-2020</t>
        </is>
      </c>
      <c r="B303" s="1" t="n">
        <v>44172</v>
      </c>
      <c r="C303" s="1" t="n">
        <v>45821</v>
      </c>
      <c r="D303" t="inlineStr">
        <is>
          <t>ÖREBRO LÄN</t>
        </is>
      </c>
      <c r="E303" t="inlineStr">
        <is>
          <t>ASKERSUND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64938-2020</t>
        </is>
      </c>
      <c r="B304" s="1" t="n">
        <v>44172</v>
      </c>
      <c r="C304" s="1" t="n">
        <v>45821</v>
      </c>
      <c r="D304" t="inlineStr">
        <is>
          <t>ÖREBRO LÄN</t>
        </is>
      </c>
      <c r="E304" t="inlineStr">
        <is>
          <t>ASKERSUND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65716-2020</t>
        </is>
      </c>
      <c r="B305" s="1" t="n">
        <v>44174</v>
      </c>
      <c r="C305" s="1" t="n">
        <v>45821</v>
      </c>
      <c r="D305" t="inlineStr">
        <is>
          <t>ÖREBRO LÄN</t>
        </is>
      </c>
      <c r="E305" t="inlineStr">
        <is>
          <t>ASKERSUND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68432-2020</t>
        </is>
      </c>
      <c r="B306" s="1" t="n">
        <v>44186</v>
      </c>
      <c r="C306" s="1" t="n">
        <v>45821</v>
      </c>
      <c r="D306" t="inlineStr">
        <is>
          <t>ÖREBRO LÄN</t>
        </is>
      </c>
      <c r="E306" t="inlineStr">
        <is>
          <t>ASKERSUND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68450-2020</t>
        </is>
      </c>
      <c r="B307" s="1" t="n">
        <v>44186</v>
      </c>
      <c r="C307" s="1" t="n">
        <v>45821</v>
      </c>
      <c r="D307" t="inlineStr">
        <is>
          <t>ÖREBRO LÄN</t>
        </is>
      </c>
      <c r="E307" t="inlineStr">
        <is>
          <t>ASKERSUND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68831-2020</t>
        </is>
      </c>
      <c r="B308" s="1" t="n">
        <v>44187</v>
      </c>
      <c r="C308" s="1" t="n">
        <v>45821</v>
      </c>
      <c r="D308" t="inlineStr">
        <is>
          <t>ÖREBRO LÄN</t>
        </is>
      </c>
      <c r="E308" t="inlineStr">
        <is>
          <t>ASKERSUND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69556-2020</t>
        </is>
      </c>
      <c r="B309" s="1" t="n">
        <v>44194</v>
      </c>
      <c r="C309" s="1" t="n">
        <v>45821</v>
      </c>
      <c r="D309" t="inlineStr">
        <is>
          <t>ÖREBRO LÄN</t>
        </is>
      </c>
      <c r="E309" t="inlineStr">
        <is>
          <t>ASKERSUND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166-2021</t>
        </is>
      </c>
      <c r="B310" s="1" t="n">
        <v>44200</v>
      </c>
      <c r="C310" s="1" t="n">
        <v>45821</v>
      </c>
      <c r="D310" t="inlineStr">
        <is>
          <t>ÖREBRO LÄN</t>
        </is>
      </c>
      <c r="E310" t="inlineStr">
        <is>
          <t>ASKERSUND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829-2021</t>
        </is>
      </c>
      <c r="B311" s="1" t="n">
        <v>44204</v>
      </c>
      <c r="C311" s="1" t="n">
        <v>45821</v>
      </c>
      <c r="D311" t="inlineStr">
        <is>
          <t>ÖREBRO LÄN</t>
        </is>
      </c>
      <c r="E311" t="inlineStr">
        <is>
          <t>ASKERSUND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1347-2021</t>
        </is>
      </c>
      <c r="B312" s="1" t="n">
        <v>44208</v>
      </c>
      <c r="C312" s="1" t="n">
        <v>45821</v>
      </c>
      <c r="D312" t="inlineStr">
        <is>
          <t>ÖREBRO LÄN</t>
        </is>
      </c>
      <c r="E312" t="inlineStr">
        <is>
          <t>ASKERSUND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1601-2021</t>
        </is>
      </c>
      <c r="B313" s="1" t="n">
        <v>44209</v>
      </c>
      <c r="C313" s="1" t="n">
        <v>45821</v>
      </c>
      <c r="D313" t="inlineStr">
        <is>
          <t>ÖREBRO LÄN</t>
        </is>
      </c>
      <c r="E313" t="inlineStr">
        <is>
          <t>ASKERSUND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2232-2021</t>
        </is>
      </c>
      <c r="B314" s="1" t="n">
        <v>44211</v>
      </c>
      <c r="C314" s="1" t="n">
        <v>45821</v>
      </c>
      <c r="D314" t="inlineStr">
        <is>
          <t>ÖREBRO LÄN</t>
        </is>
      </c>
      <c r="E314" t="inlineStr">
        <is>
          <t>ASKERSUND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5218-2021</t>
        </is>
      </c>
      <c r="B315" s="1" t="n">
        <v>44228</v>
      </c>
      <c r="C315" s="1" t="n">
        <v>45821</v>
      </c>
      <c r="D315" t="inlineStr">
        <is>
          <t>ÖREBRO LÄN</t>
        </is>
      </c>
      <c r="E315" t="inlineStr">
        <is>
          <t>ASKERSUND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4531-2021</t>
        </is>
      </c>
      <c r="B316" s="1" t="n">
        <v>44229</v>
      </c>
      <c r="C316" s="1" t="n">
        <v>45821</v>
      </c>
      <c r="D316" t="inlineStr">
        <is>
          <t>ÖREBRO LÄN</t>
        </is>
      </c>
      <c r="E316" t="inlineStr">
        <is>
          <t>ASKERSUND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5482-2021</t>
        </is>
      </c>
      <c r="B317" s="1" t="n">
        <v>44230</v>
      </c>
      <c r="C317" s="1" t="n">
        <v>45821</v>
      </c>
      <c r="D317" t="inlineStr">
        <is>
          <t>ÖREBRO LÄN</t>
        </is>
      </c>
      <c r="E317" t="inlineStr">
        <is>
          <t>ASKERSUND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6065-2021</t>
        </is>
      </c>
      <c r="B318" s="1" t="n">
        <v>44232</v>
      </c>
      <c r="C318" s="1" t="n">
        <v>45821</v>
      </c>
      <c r="D318" t="inlineStr">
        <is>
          <t>ÖREBRO LÄN</t>
        </is>
      </c>
      <c r="E318" t="inlineStr">
        <is>
          <t>ASKERSUND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7043-2021</t>
        </is>
      </c>
      <c r="B319" s="1" t="n">
        <v>44237</v>
      </c>
      <c r="C319" s="1" t="n">
        <v>45821</v>
      </c>
      <c r="D319" t="inlineStr">
        <is>
          <t>ÖREBRO LÄN</t>
        </is>
      </c>
      <c r="E319" t="inlineStr">
        <is>
          <t>ASKERSUND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7045-2021</t>
        </is>
      </c>
      <c r="B320" s="1" t="n">
        <v>44237</v>
      </c>
      <c r="C320" s="1" t="n">
        <v>45821</v>
      </c>
      <c r="D320" t="inlineStr">
        <is>
          <t>ÖREBRO LÄN</t>
        </is>
      </c>
      <c r="E320" t="inlineStr">
        <is>
          <t>ASKERSUND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8158-2021</t>
        </is>
      </c>
      <c r="B321" s="1" t="n">
        <v>44244</v>
      </c>
      <c r="C321" s="1" t="n">
        <v>45821</v>
      </c>
      <c r="D321" t="inlineStr">
        <is>
          <t>ÖREBRO LÄN</t>
        </is>
      </c>
      <c r="E321" t="inlineStr">
        <is>
          <t>ASKERSUND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8177-2021</t>
        </is>
      </c>
      <c r="B322" s="1" t="n">
        <v>44244</v>
      </c>
      <c r="C322" s="1" t="n">
        <v>45821</v>
      </c>
      <c r="D322" t="inlineStr">
        <is>
          <t>ÖREBRO LÄN</t>
        </is>
      </c>
      <c r="E322" t="inlineStr">
        <is>
          <t>ASKERSUND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8187-2021</t>
        </is>
      </c>
      <c r="B323" s="1" t="n">
        <v>44244</v>
      </c>
      <c r="C323" s="1" t="n">
        <v>45821</v>
      </c>
      <c r="D323" t="inlineStr">
        <is>
          <t>ÖREBRO LÄN</t>
        </is>
      </c>
      <c r="E323" t="inlineStr">
        <is>
          <t>ASKERSUND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9302-2021</t>
        </is>
      </c>
      <c r="B324" s="1" t="n">
        <v>44250</v>
      </c>
      <c r="C324" s="1" t="n">
        <v>45821</v>
      </c>
      <c r="D324" t="inlineStr">
        <is>
          <t>ÖREBRO LÄN</t>
        </is>
      </c>
      <c r="E324" t="inlineStr">
        <is>
          <t>ASKERSUND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10290-2021</t>
        </is>
      </c>
      <c r="B325" s="1" t="n">
        <v>44256</v>
      </c>
      <c r="C325" s="1" t="n">
        <v>45821</v>
      </c>
      <c r="D325" t="inlineStr">
        <is>
          <t>ÖREBRO LÄN</t>
        </is>
      </c>
      <c r="E325" t="inlineStr">
        <is>
          <t>ASKERSUND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12372-2021</t>
        </is>
      </c>
      <c r="B326" s="1" t="n">
        <v>44267</v>
      </c>
      <c r="C326" s="1" t="n">
        <v>45821</v>
      </c>
      <c r="D326" t="inlineStr">
        <is>
          <t>ÖREBRO LÄN</t>
        </is>
      </c>
      <c r="E326" t="inlineStr">
        <is>
          <t>ASKERSUND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13526-2021</t>
        </is>
      </c>
      <c r="B327" s="1" t="n">
        <v>44273</v>
      </c>
      <c r="C327" s="1" t="n">
        <v>45821</v>
      </c>
      <c r="D327" t="inlineStr">
        <is>
          <t>ÖREBRO LÄN</t>
        </is>
      </c>
      <c r="E327" t="inlineStr">
        <is>
          <t>ASKERSUND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14461-2021</t>
        </is>
      </c>
      <c r="B328" s="1" t="n">
        <v>44279</v>
      </c>
      <c r="C328" s="1" t="n">
        <v>45821</v>
      </c>
      <c r="D328" t="inlineStr">
        <is>
          <t>ÖREBRO LÄN</t>
        </is>
      </c>
      <c r="E328" t="inlineStr">
        <is>
          <t>ASKERSUND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14464-2021</t>
        </is>
      </c>
      <c r="B329" s="1" t="n">
        <v>44279</v>
      </c>
      <c r="C329" s="1" t="n">
        <v>45821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15569-2021</t>
        </is>
      </c>
      <c r="B330" s="1" t="n">
        <v>44285</v>
      </c>
      <c r="C330" s="1" t="n">
        <v>45821</v>
      </c>
      <c r="D330" t="inlineStr">
        <is>
          <t>ÖREBRO LÄN</t>
        </is>
      </c>
      <c r="E330" t="inlineStr">
        <is>
          <t>ASKERSUND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16548-2021</t>
        </is>
      </c>
      <c r="B331" s="1" t="n">
        <v>44293</v>
      </c>
      <c r="C331" s="1" t="n">
        <v>45821</v>
      </c>
      <c r="D331" t="inlineStr">
        <is>
          <t>ÖREBRO LÄN</t>
        </is>
      </c>
      <c r="E331" t="inlineStr">
        <is>
          <t>ASKERSUND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17082-2021</t>
        </is>
      </c>
      <c r="B332" s="1" t="n">
        <v>44297</v>
      </c>
      <c r="C332" s="1" t="n">
        <v>45821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17826-2021</t>
        </is>
      </c>
      <c r="B333" s="1" t="n">
        <v>44300</v>
      </c>
      <c r="C333" s="1" t="n">
        <v>45821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17870-2021</t>
        </is>
      </c>
      <c r="B334" s="1" t="n">
        <v>44300</v>
      </c>
      <c r="C334" s="1" t="n">
        <v>45821</v>
      </c>
      <c r="D334" t="inlineStr">
        <is>
          <t>ÖREBRO LÄN</t>
        </is>
      </c>
      <c r="E334" t="inlineStr">
        <is>
          <t>ASKERSUND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20506-2021</t>
        </is>
      </c>
      <c r="B335" s="1" t="n">
        <v>44315</v>
      </c>
      <c r="C335" s="1" t="n">
        <v>45821</v>
      </c>
      <c r="D335" t="inlineStr">
        <is>
          <t>ÖREBRO LÄN</t>
        </is>
      </c>
      <c r="E335" t="inlineStr">
        <is>
          <t>ASKERSUND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20814-2021</t>
        </is>
      </c>
      <c r="B336" s="1" t="n">
        <v>44317</v>
      </c>
      <c r="C336" s="1" t="n">
        <v>45821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22116-2021</t>
        </is>
      </c>
      <c r="B337" s="1" t="n">
        <v>44323</v>
      </c>
      <c r="C337" s="1" t="n">
        <v>45821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23301-2021</t>
        </is>
      </c>
      <c r="B338" s="1" t="n">
        <v>44333</v>
      </c>
      <c r="C338" s="1" t="n">
        <v>45821</v>
      </c>
      <c r="D338" t="inlineStr">
        <is>
          <t>ÖREBRO LÄN</t>
        </is>
      </c>
      <c r="E338" t="inlineStr">
        <is>
          <t>ASKERSUND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23720-2021</t>
        </is>
      </c>
      <c r="B339" s="1" t="n">
        <v>44334</v>
      </c>
      <c r="C339" s="1" t="n">
        <v>45821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23718-2021</t>
        </is>
      </c>
      <c r="B340" s="1" t="n">
        <v>44334</v>
      </c>
      <c r="C340" s="1" t="n">
        <v>45821</v>
      </c>
      <c r="D340" t="inlineStr">
        <is>
          <t>ÖREBRO LÄN</t>
        </is>
      </c>
      <c r="E340" t="inlineStr">
        <is>
          <t>ASKERSUND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23721-2021</t>
        </is>
      </c>
      <c r="B341" s="1" t="n">
        <v>44334</v>
      </c>
      <c r="C341" s="1" t="n">
        <v>45821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25663-2021</t>
        </is>
      </c>
      <c r="B342" s="1" t="n">
        <v>44343</v>
      </c>
      <c r="C342" s="1" t="n">
        <v>45821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25724-2021</t>
        </is>
      </c>
      <c r="B343" s="1" t="n">
        <v>44343</v>
      </c>
      <c r="C343" s="1" t="n">
        <v>45821</v>
      </c>
      <c r="D343" t="inlineStr">
        <is>
          <t>ÖREBRO LÄN</t>
        </is>
      </c>
      <c r="E343" t="inlineStr">
        <is>
          <t>ASKERSUND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25661-2021</t>
        </is>
      </c>
      <c r="B344" s="1" t="n">
        <v>44343</v>
      </c>
      <c r="C344" s="1" t="n">
        <v>45821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25720-2021</t>
        </is>
      </c>
      <c r="B345" s="1" t="n">
        <v>44343</v>
      </c>
      <c r="C345" s="1" t="n">
        <v>45821</v>
      </c>
      <c r="D345" t="inlineStr">
        <is>
          <t>ÖREBRO LÄN</t>
        </is>
      </c>
      <c r="E345" t="inlineStr">
        <is>
          <t>ASKERSUND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25749-2021</t>
        </is>
      </c>
      <c r="B346" s="1" t="n">
        <v>44343</v>
      </c>
      <c r="C346" s="1" t="n">
        <v>45821</v>
      </c>
      <c r="D346" t="inlineStr">
        <is>
          <t>ÖREBRO LÄN</t>
        </is>
      </c>
      <c r="E346" t="inlineStr">
        <is>
          <t>ASKERSUND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25729-2021</t>
        </is>
      </c>
      <c r="B347" s="1" t="n">
        <v>44343</v>
      </c>
      <c r="C347" s="1" t="n">
        <v>45821</v>
      </c>
      <c r="D347" t="inlineStr">
        <is>
          <t>ÖREBRO LÄN</t>
        </is>
      </c>
      <c r="E347" t="inlineStr">
        <is>
          <t>ASKERSUND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25911-2021</t>
        </is>
      </c>
      <c r="B348" s="1" t="n">
        <v>44344</v>
      </c>
      <c r="C348" s="1" t="n">
        <v>45821</v>
      </c>
      <c r="D348" t="inlineStr">
        <is>
          <t>ÖREBRO LÄN</t>
        </is>
      </c>
      <c r="E348" t="inlineStr">
        <is>
          <t>ASKERSUND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26549-2021</t>
        </is>
      </c>
      <c r="B349" s="1" t="n">
        <v>44348</v>
      </c>
      <c r="C349" s="1" t="n">
        <v>45821</v>
      </c>
      <c r="D349" t="inlineStr">
        <is>
          <t>ÖREBRO LÄN</t>
        </is>
      </c>
      <c r="E349" t="inlineStr">
        <is>
          <t>ASKERSUND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28949-2021</t>
        </is>
      </c>
      <c r="B350" s="1" t="n">
        <v>44358</v>
      </c>
      <c r="C350" s="1" t="n">
        <v>45821</v>
      </c>
      <c r="D350" t="inlineStr">
        <is>
          <t>ÖREBRO LÄN</t>
        </is>
      </c>
      <c r="E350" t="inlineStr">
        <is>
          <t>ASKERSUND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29104-2021</t>
        </is>
      </c>
      <c r="B351" s="1" t="n">
        <v>44358</v>
      </c>
      <c r="C351" s="1" t="n">
        <v>45821</v>
      </c>
      <c r="D351" t="inlineStr">
        <is>
          <t>ÖREBRO LÄN</t>
        </is>
      </c>
      <c r="E351" t="inlineStr">
        <is>
          <t>ASKERSUND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29122-2021</t>
        </is>
      </c>
      <c r="B352" s="1" t="n">
        <v>44358</v>
      </c>
      <c r="C352" s="1" t="n">
        <v>45821</v>
      </c>
      <c r="D352" t="inlineStr">
        <is>
          <t>ÖREBRO LÄN</t>
        </is>
      </c>
      <c r="E352" t="inlineStr">
        <is>
          <t>ASKERSUND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31225-2021</t>
        </is>
      </c>
      <c r="B353" s="1" t="n">
        <v>44368</v>
      </c>
      <c r="C353" s="1" t="n">
        <v>45821</v>
      </c>
      <c r="D353" t="inlineStr">
        <is>
          <t>ÖREBRO LÄN</t>
        </is>
      </c>
      <c r="E353" t="inlineStr">
        <is>
          <t>ASKERSUND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33167-2021</t>
        </is>
      </c>
      <c r="B354" s="1" t="n">
        <v>44376</v>
      </c>
      <c r="C354" s="1" t="n">
        <v>45821</v>
      </c>
      <c r="D354" t="inlineStr">
        <is>
          <t>ÖREBRO LÄN</t>
        </is>
      </c>
      <c r="E354" t="inlineStr">
        <is>
          <t>ASKERSUND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33157-2021</t>
        </is>
      </c>
      <c r="B355" s="1" t="n">
        <v>44376</v>
      </c>
      <c r="C355" s="1" t="n">
        <v>45821</v>
      </c>
      <c r="D355" t="inlineStr">
        <is>
          <t>ÖREBRO LÄN</t>
        </is>
      </c>
      <c r="E355" t="inlineStr">
        <is>
          <t>ASKERSUND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33151-2021</t>
        </is>
      </c>
      <c r="B356" s="1" t="n">
        <v>44376</v>
      </c>
      <c r="C356" s="1" t="n">
        <v>45821</v>
      </c>
      <c r="D356" t="inlineStr">
        <is>
          <t>ÖREBRO LÄN</t>
        </is>
      </c>
      <c r="E356" t="inlineStr">
        <is>
          <t>ASKERSUND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35450-2021</t>
        </is>
      </c>
      <c r="B357" s="1" t="n">
        <v>44385</v>
      </c>
      <c r="C357" s="1" t="n">
        <v>45821</v>
      </c>
      <c r="D357" t="inlineStr">
        <is>
          <t>ÖREBRO LÄN</t>
        </is>
      </c>
      <c r="E357" t="inlineStr">
        <is>
          <t>ASKERSUND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35796-2021</t>
        </is>
      </c>
      <c r="B358" s="1" t="n">
        <v>44386</v>
      </c>
      <c r="C358" s="1" t="n">
        <v>45821</v>
      </c>
      <c r="D358" t="inlineStr">
        <is>
          <t>ÖREBRO LÄN</t>
        </is>
      </c>
      <c r="E358" t="inlineStr">
        <is>
          <t>ASKERSUND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36080-2021</t>
        </is>
      </c>
      <c r="B359" s="1" t="n">
        <v>44389</v>
      </c>
      <c r="C359" s="1" t="n">
        <v>45821</v>
      </c>
      <c r="D359" t="inlineStr">
        <is>
          <t>ÖREBRO LÄN</t>
        </is>
      </c>
      <c r="E359" t="inlineStr">
        <is>
          <t>ASKERSUND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36504-2021</t>
        </is>
      </c>
      <c r="B360" s="1" t="n">
        <v>44391</v>
      </c>
      <c r="C360" s="1" t="n">
        <v>45821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36503-2021</t>
        </is>
      </c>
      <c r="B361" s="1" t="n">
        <v>44391</v>
      </c>
      <c r="C361" s="1" t="n">
        <v>45821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36596-2021</t>
        </is>
      </c>
      <c r="B362" s="1" t="n">
        <v>44391</v>
      </c>
      <c r="C362" s="1" t="n">
        <v>45821</v>
      </c>
      <c r="D362" t="inlineStr">
        <is>
          <t>ÖREBRO LÄN</t>
        </is>
      </c>
      <c r="E362" t="inlineStr">
        <is>
          <t>ASKERSUND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37277-2021</t>
        </is>
      </c>
      <c r="B363" s="1" t="n">
        <v>44397</v>
      </c>
      <c r="C363" s="1" t="n">
        <v>45821</v>
      </c>
      <c r="D363" t="inlineStr">
        <is>
          <t>ÖREBRO LÄN</t>
        </is>
      </c>
      <c r="E363" t="inlineStr">
        <is>
          <t>ASKERSUND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37294-2021</t>
        </is>
      </c>
      <c r="B364" s="1" t="n">
        <v>44397</v>
      </c>
      <c r="C364" s="1" t="n">
        <v>45821</v>
      </c>
      <c r="D364" t="inlineStr">
        <is>
          <t>ÖREBRO LÄN</t>
        </is>
      </c>
      <c r="E364" t="inlineStr">
        <is>
          <t>ASKERSUND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37393-2021</t>
        </is>
      </c>
      <c r="B365" s="1" t="n">
        <v>44398</v>
      </c>
      <c r="C365" s="1" t="n">
        <v>45821</v>
      </c>
      <c r="D365" t="inlineStr">
        <is>
          <t>ÖREBRO LÄN</t>
        </is>
      </c>
      <c r="E365" t="inlineStr">
        <is>
          <t>ASKERSUND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38484-2021</t>
        </is>
      </c>
      <c r="B366" s="1" t="n">
        <v>44407</v>
      </c>
      <c r="C366" s="1" t="n">
        <v>45821</v>
      </c>
      <c r="D366" t="inlineStr">
        <is>
          <t>ÖREBRO LÄN</t>
        </is>
      </c>
      <c r="E366" t="inlineStr">
        <is>
          <t>ASKERSUND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39061-2021</t>
        </is>
      </c>
      <c r="B367" s="1" t="n">
        <v>44412</v>
      </c>
      <c r="C367" s="1" t="n">
        <v>45821</v>
      </c>
      <c r="D367" t="inlineStr">
        <is>
          <t>ÖREBRO LÄN</t>
        </is>
      </c>
      <c r="E367" t="inlineStr">
        <is>
          <t>ASKERSUND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39597-2021</t>
        </is>
      </c>
      <c r="B368" s="1" t="n">
        <v>44413</v>
      </c>
      <c r="C368" s="1" t="n">
        <v>45821</v>
      </c>
      <c r="D368" t="inlineStr">
        <is>
          <t>ÖREBRO LÄN</t>
        </is>
      </c>
      <c r="E368" t="inlineStr">
        <is>
          <t>ASKERSUND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39605-2021</t>
        </is>
      </c>
      <c r="B369" s="1" t="n">
        <v>44413</v>
      </c>
      <c r="C369" s="1" t="n">
        <v>45821</v>
      </c>
      <c r="D369" t="inlineStr">
        <is>
          <t>ÖREBRO LÄN</t>
        </is>
      </c>
      <c r="E369" t="inlineStr">
        <is>
          <t>ASKERSUND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40404-2021</t>
        </is>
      </c>
      <c r="B370" s="1" t="n">
        <v>44419</v>
      </c>
      <c r="C370" s="1" t="n">
        <v>45821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40399-2021</t>
        </is>
      </c>
      <c r="B371" s="1" t="n">
        <v>44419</v>
      </c>
      <c r="C371" s="1" t="n">
        <v>45821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40589-2021</t>
        </is>
      </c>
      <c r="B372" s="1" t="n">
        <v>44420</v>
      </c>
      <c r="C372" s="1" t="n">
        <v>45821</v>
      </c>
      <c r="D372" t="inlineStr">
        <is>
          <t>ÖREBRO LÄN</t>
        </is>
      </c>
      <c r="E372" t="inlineStr">
        <is>
          <t>ASKERSUND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41096-2021</t>
        </is>
      </c>
      <c r="B373" s="1" t="n">
        <v>44422</v>
      </c>
      <c r="C373" s="1" t="n">
        <v>45821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41095-2021</t>
        </is>
      </c>
      <c r="B374" s="1" t="n">
        <v>44422</v>
      </c>
      <c r="C374" s="1" t="n">
        <v>45821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41094-2021</t>
        </is>
      </c>
      <c r="B375" s="1" t="n">
        <v>44422</v>
      </c>
      <c r="C375" s="1" t="n">
        <v>45821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41249-2021</t>
        </is>
      </c>
      <c r="B376" s="1" t="n">
        <v>44424</v>
      </c>
      <c r="C376" s="1" t="n">
        <v>45821</v>
      </c>
      <c r="D376" t="inlineStr">
        <is>
          <t>ÖREBRO LÄN</t>
        </is>
      </c>
      <c r="E376" t="inlineStr">
        <is>
          <t>ASKERSUND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41252-2021</t>
        </is>
      </c>
      <c r="B377" s="1" t="n">
        <v>44424</v>
      </c>
      <c r="C377" s="1" t="n">
        <v>45821</v>
      </c>
      <c r="D377" t="inlineStr">
        <is>
          <t>ÖREBRO LÄN</t>
        </is>
      </c>
      <c r="E377" t="inlineStr">
        <is>
          <t>ASKERSUND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41762-2021</t>
        </is>
      </c>
      <c r="B378" s="1" t="n">
        <v>44425</v>
      </c>
      <c r="C378" s="1" t="n">
        <v>45821</v>
      </c>
      <c r="D378" t="inlineStr">
        <is>
          <t>ÖREBRO LÄN</t>
        </is>
      </c>
      <c r="E378" t="inlineStr">
        <is>
          <t>ASKERSUND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42198-2021</t>
        </is>
      </c>
      <c r="B379" s="1" t="n">
        <v>44426</v>
      </c>
      <c r="C379" s="1" t="n">
        <v>45821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42844-2021</t>
        </is>
      </c>
      <c r="B380" s="1" t="n">
        <v>44430</v>
      </c>
      <c r="C380" s="1" t="n">
        <v>45821</v>
      </c>
      <c r="D380" t="inlineStr">
        <is>
          <t>ÖREBRO LÄN</t>
        </is>
      </c>
      <c r="E380" t="inlineStr">
        <is>
          <t>ASKERSUND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42841-2021</t>
        </is>
      </c>
      <c r="B381" s="1" t="n">
        <v>44430</v>
      </c>
      <c r="C381" s="1" t="n">
        <v>45821</v>
      </c>
      <c r="D381" t="inlineStr">
        <is>
          <t>ÖREBRO LÄN</t>
        </is>
      </c>
      <c r="E381" t="inlineStr">
        <is>
          <t>ASKERSUND</t>
        </is>
      </c>
      <c r="G381" t="n">
        <v>14.1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42830-2021</t>
        </is>
      </c>
      <c r="B382" s="1" t="n">
        <v>44430</v>
      </c>
      <c r="C382" s="1" t="n">
        <v>45821</v>
      </c>
      <c r="D382" t="inlineStr">
        <is>
          <t>ÖREBRO LÄN</t>
        </is>
      </c>
      <c r="E382" t="inlineStr">
        <is>
          <t>ASKERSUND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42839-2021</t>
        </is>
      </c>
      <c r="B383" s="1" t="n">
        <v>44430</v>
      </c>
      <c r="C383" s="1" t="n">
        <v>45821</v>
      </c>
      <c r="D383" t="inlineStr">
        <is>
          <t>ÖREBRO LÄN</t>
        </is>
      </c>
      <c r="E383" t="inlineStr">
        <is>
          <t>ASKERSUND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43139-2021</t>
        </is>
      </c>
      <c r="B384" s="1" t="n">
        <v>44431</v>
      </c>
      <c r="C384" s="1" t="n">
        <v>45821</v>
      </c>
      <c r="D384" t="inlineStr">
        <is>
          <t>ÖREBRO LÄN</t>
        </is>
      </c>
      <c r="E384" t="inlineStr">
        <is>
          <t>ASKERSUND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43415-2021</t>
        </is>
      </c>
      <c r="B385" s="1" t="n">
        <v>44432</v>
      </c>
      <c r="C385" s="1" t="n">
        <v>45821</v>
      </c>
      <c r="D385" t="inlineStr">
        <is>
          <t>ÖREBRO LÄN</t>
        </is>
      </c>
      <c r="E385" t="inlineStr">
        <is>
          <t>ASKERSUND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43421-2021</t>
        </is>
      </c>
      <c r="B386" s="1" t="n">
        <v>44432</v>
      </c>
      <c r="C386" s="1" t="n">
        <v>45821</v>
      </c>
      <c r="D386" t="inlineStr">
        <is>
          <t>ÖREBRO LÄN</t>
        </is>
      </c>
      <c r="E386" t="inlineStr">
        <is>
          <t>ASKERSUND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44150-2021</t>
        </is>
      </c>
      <c r="B387" s="1" t="n">
        <v>44434</v>
      </c>
      <c r="C387" s="1" t="n">
        <v>45821</v>
      </c>
      <c r="D387" t="inlineStr">
        <is>
          <t>ÖREBRO LÄN</t>
        </is>
      </c>
      <c r="E387" t="inlineStr">
        <is>
          <t>ASKERSUND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44343-2021</t>
        </is>
      </c>
      <c r="B388" s="1" t="n">
        <v>44435</v>
      </c>
      <c r="C388" s="1" t="n">
        <v>45821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44528-2021</t>
        </is>
      </c>
      <c r="B389" s="1" t="n">
        <v>44435</v>
      </c>
      <c r="C389" s="1" t="n">
        <v>45821</v>
      </c>
      <c r="D389" t="inlineStr">
        <is>
          <t>ÖREBRO LÄN</t>
        </is>
      </c>
      <c r="E389" t="inlineStr">
        <is>
          <t>ASKERSUND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44972-2021</t>
        </is>
      </c>
      <c r="B390" s="1" t="n">
        <v>44438</v>
      </c>
      <c r="C390" s="1" t="n">
        <v>45821</v>
      </c>
      <c r="D390" t="inlineStr">
        <is>
          <t>ÖREBRO LÄN</t>
        </is>
      </c>
      <c r="E390" t="inlineStr">
        <is>
          <t>ASKERSUND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44976-2021</t>
        </is>
      </c>
      <c r="B391" s="1" t="n">
        <v>44438</v>
      </c>
      <c r="C391" s="1" t="n">
        <v>45821</v>
      </c>
      <c r="D391" t="inlineStr">
        <is>
          <t>ÖREBRO LÄN</t>
        </is>
      </c>
      <c r="E391" t="inlineStr">
        <is>
          <t>ASKERSUND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44938-2021</t>
        </is>
      </c>
      <c r="B392" s="1" t="n">
        <v>44438</v>
      </c>
      <c r="C392" s="1" t="n">
        <v>45821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44978-2021</t>
        </is>
      </c>
      <c r="B393" s="1" t="n">
        <v>44438</v>
      </c>
      <c r="C393" s="1" t="n">
        <v>45821</v>
      </c>
      <c r="D393" t="inlineStr">
        <is>
          <t>ÖREBRO LÄN</t>
        </is>
      </c>
      <c r="E393" t="inlineStr">
        <is>
          <t>ASKERSUND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46174-2021</t>
        </is>
      </c>
      <c r="B394" s="1" t="n">
        <v>44442</v>
      </c>
      <c r="C394" s="1" t="n">
        <v>45821</v>
      </c>
      <c r="D394" t="inlineStr">
        <is>
          <t>ÖREBRO LÄN</t>
        </is>
      </c>
      <c r="E394" t="inlineStr">
        <is>
          <t>ASKERSUND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46630-2021</t>
        </is>
      </c>
      <c r="B395" s="1" t="n">
        <v>44445</v>
      </c>
      <c r="C395" s="1" t="n">
        <v>45821</v>
      </c>
      <c r="D395" t="inlineStr">
        <is>
          <t>ÖREBRO LÄN</t>
        </is>
      </c>
      <c r="E395" t="inlineStr">
        <is>
          <t>ASKERSUND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46954-2021</t>
        </is>
      </c>
      <c r="B396" s="1" t="n">
        <v>44446</v>
      </c>
      <c r="C396" s="1" t="n">
        <v>45821</v>
      </c>
      <c r="D396" t="inlineStr">
        <is>
          <t>ÖREBRO LÄN</t>
        </is>
      </c>
      <c r="E396" t="inlineStr">
        <is>
          <t>ASKERSUND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46966-2021</t>
        </is>
      </c>
      <c r="B397" s="1" t="n">
        <v>44446</v>
      </c>
      <c r="C397" s="1" t="n">
        <v>45821</v>
      </c>
      <c r="D397" t="inlineStr">
        <is>
          <t>ÖREBRO LÄN</t>
        </is>
      </c>
      <c r="E397" t="inlineStr">
        <is>
          <t>ASKERSUND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47517-2021</t>
        </is>
      </c>
      <c r="B398" s="1" t="n">
        <v>44447</v>
      </c>
      <c r="C398" s="1" t="n">
        <v>45821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47597-2021</t>
        </is>
      </c>
      <c r="B399" s="1" t="n">
        <v>44448</v>
      </c>
      <c r="C399" s="1" t="n">
        <v>45821</v>
      </c>
      <c r="D399" t="inlineStr">
        <is>
          <t>ÖREBRO LÄN</t>
        </is>
      </c>
      <c r="E399" t="inlineStr">
        <is>
          <t>ASKERSUND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48089-2021</t>
        </is>
      </c>
      <c r="B400" s="1" t="n">
        <v>44449</v>
      </c>
      <c r="C400" s="1" t="n">
        <v>45821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48409-2021</t>
        </is>
      </c>
      <c r="B401" s="1" t="n">
        <v>44449</v>
      </c>
      <c r="C401" s="1" t="n">
        <v>45821</v>
      </c>
      <c r="D401" t="inlineStr">
        <is>
          <t>ÖREBRO LÄN</t>
        </is>
      </c>
      <c r="E401" t="inlineStr">
        <is>
          <t>ASKERSUND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48428-2021</t>
        </is>
      </c>
      <c r="B402" s="1" t="n">
        <v>44449</v>
      </c>
      <c r="C402" s="1" t="n">
        <v>45821</v>
      </c>
      <c r="D402" t="inlineStr">
        <is>
          <t>ÖREBRO LÄN</t>
        </is>
      </c>
      <c r="E402" t="inlineStr">
        <is>
          <t>ASKERSUND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48463-2021</t>
        </is>
      </c>
      <c r="B403" s="1" t="n">
        <v>44452</v>
      </c>
      <c r="C403" s="1" t="n">
        <v>45821</v>
      </c>
      <c r="D403" t="inlineStr">
        <is>
          <t>ÖREBRO LÄN</t>
        </is>
      </c>
      <c r="E403" t="inlineStr">
        <is>
          <t>ASKERSUND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48458-2021</t>
        </is>
      </c>
      <c r="B404" s="1" t="n">
        <v>44452</v>
      </c>
      <c r="C404" s="1" t="n">
        <v>45821</v>
      </c>
      <c r="D404" t="inlineStr">
        <is>
          <t>ÖREBRO LÄN</t>
        </is>
      </c>
      <c r="E404" t="inlineStr">
        <is>
          <t>ASKERSUND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48694-2021</t>
        </is>
      </c>
      <c r="B405" s="1" t="n">
        <v>44452</v>
      </c>
      <c r="C405" s="1" t="n">
        <v>45821</v>
      </c>
      <c r="D405" t="inlineStr">
        <is>
          <t>ÖREBRO LÄN</t>
        </is>
      </c>
      <c r="E405" t="inlineStr">
        <is>
          <t>ASKERSUND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49308-2021</t>
        </is>
      </c>
      <c r="B406" s="1" t="n">
        <v>44454</v>
      </c>
      <c r="C406" s="1" t="n">
        <v>45821</v>
      </c>
      <c r="D406" t="inlineStr">
        <is>
          <t>ÖREBRO LÄN</t>
        </is>
      </c>
      <c r="E406" t="inlineStr">
        <is>
          <t>ASKERSUND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50014-2021</t>
        </is>
      </c>
      <c r="B407" s="1" t="n">
        <v>44456</v>
      </c>
      <c r="C407" s="1" t="n">
        <v>45821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50137-2021</t>
        </is>
      </c>
      <c r="B408" s="1" t="n">
        <v>44456</v>
      </c>
      <c r="C408" s="1" t="n">
        <v>45821</v>
      </c>
      <c r="D408" t="inlineStr">
        <is>
          <t>ÖREBRO LÄN</t>
        </is>
      </c>
      <c r="E408" t="inlineStr">
        <is>
          <t>ASKERSUND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50251-2021</t>
        </is>
      </c>
      <c r="B409" s="1" t="n">
        <v>44458</v>
      </c>
      <c r="C409" s="1" t="n">
        <v>45821</v>
      </c>
      <c r="D409" t="inlineStr">
        <is>
          <t>ÖREBRO LÄN</t>
        </is>
      </c>
      <c r="E409" t="inlineStr">
        <is>
          <t>ASKERSUND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50559-2021</t>
        </is>
      </c>
      <c r="B410" s="1" t="n">
        <v>44459</v>
      </c>
      <c r="C410" s="1" t="n">
        <v>45821</v>
      </c>
      <c r="D410" t="inlineStr">
        <is>
          <t>ÖREBRO LÄN</t>
        </is>
      </c>
      <c r="E410" t="inlineStr">
        <is>
          <t>ASKERSUND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51186-2021</t>
        </is>
      </c>
      <c r="B411" s="1" t="n">
        <v>44461</v>
      </c>
      <c r="C411" s="1" t="n">
        <v>45821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51213-2021</t>
        </is>
      </c>
      <c r="B412" s="1" t="n">
        <v>44461</v>
      </c>
      <c r="C412" s="1" t="n">
        <v>45821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51239-2021</t>
        </is>
      </c>
      <c r="B413" s="1" t="n">
        <v>44461</v>
      </c>
      <c r="C413" s="1" t="n">
        <v>45821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51205-2021</t>
        </is>
      </c>
      <c r="B414" s="1" t="n">
        <v>44461</v>
      </c>
      <c r="C414" s="1" t="n">
        <v>45821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51227-2021</t>
        </is>
      </c>
      <c r="B415" s="1" t="n">
        <v>44461</v>
      </c>
      <c r="C415" s="1" t="n">
        <v>45821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51180-2021</t>
        </is>
      </c>
      <c r="B416" s="1" t="n">
        <v>44461</v>
      </c>
      <c r="C416" s="1" t="n">
        <v>45821</v>
      </c>
      <c r="D416" t="inlineStr">
        <is>
          <t>ÖREBRO LÄN</t>
        </is>
      </c>
      <c r="E416" t="inlineStr">
        <is>
          <t>ASKERSUND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51348-2021</t>
        </is>
      </c>
      <c r="B417" s="1" t="n">
        <v>44461</v>
      </c>
      <c r="C417" s="1" t="n">
        <v>45821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52222-2021</t>
        </is>
      </c>
      <c r="B418" s="1" t="n">
        <v>44463</v>
      </c>
      <c r="C418" s="1" t="n">
        <v>45821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52259-2021</t>
        </is>
      </c>
      <c r="B419" s="1" t="n">
        <v>44463</v>
      </c>
      <c r="C419" s="1" t="n">
        <v>45821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52292-2021</t>
        </is>
      </c>
      <c r="B420" s="1" t="n">
        <v>44463</v>
      </c>
      <c r="C420" s="1" t="n">
        <v>45821</v>
      </c>
      <c r="D420" t="inlineStr">
        <is>
          <t>ÖREBRO LÄN</t>
        </is>
      </c>
      <c r="E420" t="inlineStr">
        <is>
          <t>ASKERSUND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52602-2021</t>
        </is>
      </c>
      <c r="B421" s="1" t="n">
        <v>44466</v>
      </c>
      <c r="C421" s="1" t="n">
        <v>45821</v>
      </c>
      <c r="D421" t="inlineStr">
        <is>
          <t>ÖREBRO LÄN</t>
        </is>
      </c>
      <c r="E421" t="inlineStr">
        <is>
          <t>ASKERSUND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52938-2021</t>
        </is>
      </c>
      <c r="B422" s="1" t="n">
        <v>44467</v>
      </c>
      <c r="C422" s="1" t="n">
        <v>45821</v>
      </c>
      <c r="D422" t="inlineStr">
        <is>
          <t>ÖREBRO LÄN</t>
        </is>
      </c>
      <c r="E422" t="inlineStr">
        <is>
          <t>ASKERSUND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52978-2021</t>
        </is>
      </c>
      <c r="B423" s="1" t="n">
        <v>44467</v>
      </c>
      <c r="C423" s="1" t="n">
        <v>45821</v>
      </c>
      <c r="D423" t="inlineStr">
        <is>
          <t>ÖREBRO LÄN</t>
        </is>
      </c>
      <c r="E423" t="inlineStr">
        <is>
          <t>ASKERSUND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53019-2021</t>
        </is>
      </c>
      <c r="B424" s="1" t="n">
        <v>44467</v>
      </c>
      <c r="C424" s="1" t="n">
        <v>45821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54723-2021</t>
        </is>
      </c>
      <c r="B425" s="1" t="n">
        <v>44473</v>
      </c>
      <c r="C425" s="1" t="n">
        <v>45821</v>
      </c>
      <c r="D425" t="inlineStr">
        <is>
          <t>ÖREBRO LÄN</t>
        </is>
      </c>
      <c r="E425" t="inlineStr">
        <is>
          <t>ASKERSUND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55047-2021</t>
        </is>
      </c>
      <c r="B426" s="1" t="n">
        <v>44474</v>
      </c>
      <c r="C426" s="1" t="n">
        <v>45821</v>
      </c>
      <c r="D426" t="inlineStr">
        <is>
          <t>ÖREBRO LÄN</t>
        </is>
      </c>
      <c r="E426" t="inlineStr">
        <is>
          <t>ASKERSUND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55053-2021</t>
        </is>
      </c>
      <c r="B427" s="1" t="n">
        <v>44474</v>
      </c>
      <c r="C427" s="1" t="n">
        <v>45821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56294-2021</t>
        </is>
      </c>
      <c r="B428" s="1" t="n">
        <v>44480</v>
      </c>
      <c r="C428" s="1" t="n">
        <v>45821</v>
      </c>
      <c r="D428" t="inlineStr">
        <is>
          <t>ÖREBRO LÄN</t>
        </is>
      </c>
      <c r="E428" t="inlineStr">
        <is>
          <t>ASKERSUND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56360-2021</t>
        </is>
      </c>
      <c r="B429" s="1" t="n">
        <v>44480</v>
      </c>
      <c r="C429" s="1" t="n">
        <v>45821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56363-2021</t>
        </is>
      </c>
      <c r="B430" s="1" t="n">
        <v>44480</v>
      </c>
      <c r="C430" s="1" t="n">
        <v>45821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56359-2021</t>
        </is>
      </c>
      <c r="B431" s="1" t="n">
        <v>44480</v>
      </c>
      <c r="C431" s="1" t="n">
        <v>45821</v>
      </c>
      <c r="D431" t="inlineStr">
        <is>
          <t>ÖREBRO LÄN</t>
        </is>
      </c>
      <c r="E431" t="inlineStr">
        <is>
          <t>ASKERSUND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57540-2021</t>
        </is>
      </c>
      <c r="B432" s="1" t="n">
        <v>44484</v>
      </c>
      <c r="C432" s="1" t="n">
        <v>45821</v>
      </c>
      <c r="D432" t="inlineStr">
        <is>
          <t>ÖREBRO LÄN</t>
        </is>
      </c>
      <c r="E432" t="inlineStr">
        <is>
          <t>ASKERSUND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57906-2021</t>
        </is>
      </c>
      <c r="B433" s="1" t="n">
        <v>44486</v>
      </c>
      <c r="C433" s="1" t="n">
        <v>45821</v>
      </c>
      <c r="D433" t="inlineStr">
        <is>
          <t>ÖREBRO LÄN</t>
        </is>
      </c>
      <c r="E433" t="inlineStr">
        <is>
          <t>ASKERSUND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58145-2021</t>
        </is>
      </c>
      <c r="B434" s="1" t="n">
        <v>44487</v>
      </c>
      <c r="C434" s="1" t="n">
        <v>45821</v>
      </c>
      <c r="D434" t="inlineStr">
        <is>
          <t>ÖREBRO LÄN</t>
        </is>
      </c>
      <c r="E434" t="inlineStr">
        <is>
          <t>ASKERSUND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58150-2021</t>
        </is>
      </c>
      <c r="B435" s="1" t="n">
        <v>44487</v>
      </c>
      <c r="C435" s="1" t="n">
        <v>45821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58155-2021</t>
        </is>
      </c>
      <c r="B436" s="1" t="n">
        <v>44487</v>
      </c>
      <c r="C436" s="1" t="n">
        <v>45821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58139-2021</t>
        </is>
      </c>
      <c r="B437" s="1" t="n">
        <v>44487</v>
      </c>
      <c r="C437" s="1" t="n">
        <v>45821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58143-2021</t>
        </is>
      </c>
      <c r="B438" s="1" t="n">
        <v>44487</v>
      </c>
      <c r="C438" s="1" t="n">
        <v>45821</v>
      </c>
      <c r="D438" t="inlineStr">
        <is>
          <t>ÖREBRO LÄN</t>
        </is>
      </c>
      <c r="E438" t="inlineStr">
        <is>
          <t>ASKERSUND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58153-2021</t>
        </is>
      </c>
      <c r="B439" s="1" t="n">
        <v>44487</v>
      </c>
      <c r="C439" s="1" t="n">
        <v>45821</v>
      </c>
      <c r="D439" t="inlineStr">
        <is>
          <t>ÖREBRO LÄN</t>
        </is>
      </c>
      <c r="E439" t="inlineStr">
        <is>
          <t>ASKERSUND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58420-2021</t>
        </is>
      </c>
      <c r="B440" s="1" t="n">
        <v>44488</v>
      </c>
      <c r="C440" s="1" t="n">
        <v>45821</v>
      </c>
      <c r="D440" t="inlineStr">
        <is>
          <t>ÖREBRO LÄN</t>
        </is>
      </c>
      <c r="E440" t="inlineStr">
        <is>
          <t>ASKERSUND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59112-2021</t>
        </is>
      </c>
      <c r="B441" s="1" t="n">
        <v>44490</v>
      </c>
      <c r="C441" s="1" t="n">
        <v>45821</v>
      </c>
      <c r="D441" t="inlineStr">
        <is>
          <t>ÖREBRO LÄN</t>
        </is>
      </c>
      <c r="E441" t="inlineStr">
        <is>
          <t>ASKERSUND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59557-2021</t>
        </is>
      </c>
      <c r="B442" s="1" t="n">
        <v>44491</v>
      </c>
      <c r="C442" s="1" t="n">
        <v>45821</v>
      </c>
      <c r="D442" t="inlineStr">
        <is>
          <t>ÖREBRO LÄN</t>
        </is>
      </c>
      <c r="E442" t="inlineStr">
        <is>
          <t>ASKERSUND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59865-2021</t>
        </is>
      </c>
      <c r="B443" s="1" t="n">
        <v>44494</v>
      </c>
      <c r="C443" s="1" t="n">
        <v>45821</v>
      </c>
      <c r="D443" t="inlineStr">
        <is>
          <t>ÖREBRO LÄN</t>
        </is>
      </c>
      <c r="E443" t="inlineStr">
        <is>
          <t>ASKERSUND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59933-2021</t>
        </is>
      </c>
      <c r="B444" s="1" t="n">
        <v>44494</v>
      </c>
      <c r="C444" s="1" t="n">
        <v>45821</v>
      </c>
      <c r="D444" t="inlineStr">
        <is>
          <t>ÖREBRO LÄN</t>
        </is>
      </c>
      <c r="E444" t="inlineStr">
        <is>
          <t>ASKERSUND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60240-2021</t>
        </is>
      </c>
      <c r="B445" s="1" t="n">
        <v>44495</v>
      </c>
      <c r="C445" s="1" t="n">
        <v>45821</v>
      </c>
      <c r="D445" t="inlineStr">
        <is>
          <t>ÖREBRO LÄN</t>
        </is>
      </c>
      <c r="E445" t="inlineStr">
        <is>
          <t>ASKERSUND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61054-2021</t>
        </is>
      </c>
      <c r="B446" s="1" t="n">
        <v>44497</v>
      </c>
      <c r="C446" s="1" t="n">
        <v>45821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61056-2021</t>
        </is>
      </c>
      <c r="B447" s="1" t="n">
        <v>44497</v>
      </c>
      <c r="C447" s="1" t="n">
        <v>45821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60965-2021</t>
        </is>
      </c>
      <c r="B448" s="1" t="n">
        <v>44497</v>
      </c>
      <c r="C448" s="1" t="n">
        <v>45821</v>
      </c>
      <c r="D448" t="inlineStr">
        <is>
          <t>ÖREBRO LÄN</t>
        </is>
      </c>
      <c r="E448" t="inlineStr">
        <is>
          <t>ASKERSUND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60959-2021</t>
        </is>
      </c>
      <c r="B449" s="1" t="n">
        <v>44497</v>
      </c>
      <c r="C449" s="1" t="n">
        <v>45821</v>
      </c>
      <c r="D449" t="inlineStr">
        <is>
          <t>ÖREBRO LÄN</t>
        </is>
      </c>
      <c r="E449" t="inlineStr">
        <is>
          <t>ASKERSUND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60961-2021</t>
        </is>
      </c>
      <c r="B450" s="1" t="n">
        <v>44497</v>
      </c>
      <c r="C450" s="1" t="n">
        <v>45821</v>
      </c>
      <c r="D450" t="inlineStr">
        <is>
          <t>ÖREBRO LÄN</t>
        </is>
      </c>
      <c r="E450" t="inlineStr">
        <is>
          <t>ASKERSUND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61517-2021</t>
        </is>
      </c>
      <c r="B451" s="1" t="n">
        <v>44501</v>
      </c>
      <c r="C451" s="1" t="n">
        <v>45821</v>
      </c>
      <c r="D451" t="inlineStr">
        <is>
          <t>ÖREBRO LÄN</t>
        </is>
      </c>
      <c r="E451" t="inlineStr">
        <is>
          <t>ASKERSUND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61570-2021</t>
        </is>
      </c>
      <c r="B452" s="1" t="n">
        <v>44501</v>
      </c>
      <c r="C452" s="1" t="n">
        <v>45821</v>
      </c>
      <c r="D452" t="inlineStr">
        <is>
          <t>ÖREBRO LÄN</t>
        </is>
      </c>
      <c r="E452" t="inlineStr">
        <is>
          <t>ASKERSUND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62584-2021</t>
        </is>
      </c>
      <c r="B453" s="1" t="n">
        <v>44503</v>
      </c>
      <c r="C453" s="1" t="n">
        <v>45821</v>
      </c>
      <c r="D453" t="inlineStr">
        <is>
          <t>ÖREBRO LÄN</t>
        </is>
      </c>
      <c r="E453" t="inlineStr">
        <is>
          <t>ASKERSUND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62832-2021</t>
        </is>
      </c>
      <c r="B454" s="1" t="n">
        <v>44503</v>
      </c>
      <c r="C454" s="1" t="n">
        <v>45821</v>
      </c>
      <c r="D454" t="inlineStr">
        <is>
          <t>ÖREBRO LÄN</t>
        </is>
      </c>
      <c r="E454" t="inlineStr">
        <is>
          <t>ASKERSUND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63422-2021</t>
        </is>
      </c>
      <c r="B455" s="1" t="n">
        <v>44508</v>
      </c>
      <c r="C455" s="1" t="n">
        <v>45821</v>
      </c>
      <c r="D455" t="inlineStr">
        <is>
          <t>ÖREBRO LÄN</t>
        </is>
      </c>
      <c r="E455" t="inlineStr">
        <is>
          <t>ASKERSUND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63504-2021</t>
        </is>
      </c>
      <c r="B456" s="1" t="n">
        <v>44508</v>
      </c>
      <c r="C456" s="1" t="n">
        <v>45821</v>
      </c>
      <c r="D456" t="inlineStr">
        <is>
          <t>ÖREBRO LÄN</t>
        </is>
      </c>
      <c r="E456" t="inlineStr">
        <is>
          <t>ASKERSUND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63517-2021</t>
        </is>
      </c>
      <c r="B457" s="1" t="n">
        <v>44508</v>
      </c>
      <c r="C457" s="1" t="n">
        <v>45821</v>
      </c>
      <c r="D457" t="inlineStr">
        <is>
          <t>ÖREBRO LÄN</t>
        </is>
      </c>
      <c r="E457" t="inlineStr">
        <is>
          <t>ASKERSUND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45821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45821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45821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45821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45821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45821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45821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45821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45821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45821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45821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45821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45821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45821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45821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45821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45821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45821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45821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45821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45821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45821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45821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45821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45821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45821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45821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45821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45821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45821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45821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45821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45821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45821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45821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45821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45821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45821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45821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45821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45821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45821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45821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45821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45821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45821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45821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45821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45821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45821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45821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45821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45821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45821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45821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45821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45821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45821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45821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45821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45821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45821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45821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45821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45821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45821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45821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45821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45821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45821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45821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45821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45821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45821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45821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45821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45821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45821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45821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45821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45821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45821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45821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45821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45821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45821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45821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45821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45821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45821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45821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45821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45821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45821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45821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45821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45821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45821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45821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45821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45821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45821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45821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45821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45821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45821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45821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45821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45821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45821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45821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45821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45821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45821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45821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45821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45821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45821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45821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45821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45821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45821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45821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45821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45821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45821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45821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45821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45821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45821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45821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45821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45821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45821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45821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45821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45821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45821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45821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45821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45821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45821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45821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45821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45821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45821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45821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45821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45821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45821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45821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45821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45821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45821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45821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45821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45821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45821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45821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45821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45821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45821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45821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45821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45821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45821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45821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45821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45821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45821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45821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45821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45821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45821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45821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45821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45821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45821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45821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45821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45821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45821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45821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45821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45821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45821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45821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45821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45821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45821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45821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45821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45821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45821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45821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45821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45821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45821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45821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45821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45821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45821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45821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45821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45821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45821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45821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45821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45821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45821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45821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45821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45821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45821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45821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45821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45821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45821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45821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45821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45821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45821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45821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45821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45821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45821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45821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45821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45821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45821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45821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45821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45821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45821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45821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45821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45821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45821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45821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45821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45821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45821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45821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45821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45821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45821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45821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45821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45821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45821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45821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45821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45821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45821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45821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45821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45821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45821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45821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45821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45821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45821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45821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45821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45821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45821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45821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45821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45821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45821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45821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45821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45821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45821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45821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45821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45821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45821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45821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45821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45821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45821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45821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45821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45821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45821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45821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45821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45821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45821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45821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45821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45821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45821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45821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45821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45821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45821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45821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45821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45821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45821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45821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45821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45821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45821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45821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45821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45821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45821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45821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45821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45821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45821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45821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45821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45821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45821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45821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45821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45821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45821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45821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45821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45821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45821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45821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45821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45821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45821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45821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45821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45821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45821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45821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45821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45821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45821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45821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45821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45821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45821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45821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45821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45821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45821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45821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45821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45821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45821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45821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45821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45821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45821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45821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45821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45821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45821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45821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45821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45821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45821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45821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45821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45821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45821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45821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45821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45821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45821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45821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45821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45821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45821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45821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45821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45821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45821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45821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45821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45821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45821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45821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45821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45821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45821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45821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45821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45821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45821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45821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45821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45821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45821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45821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45821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45821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45821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45821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45821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45821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45821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45821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45821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45821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45821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45821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45821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45821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45821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45821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45821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45821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45821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45821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45821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45821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45821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45821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45821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45821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45821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45821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45821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45821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45821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45821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45821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45821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45821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45821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45821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45821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45821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45821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45821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45821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45821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45821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45821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45821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45821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45821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45821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45821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45821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45821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45821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45821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45821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45821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45821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45821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45821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45821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45821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45821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45821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45821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45821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45821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45821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45821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45821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45821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45821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45821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45821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45821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45821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45821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45821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45821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45821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45821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45821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45821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45821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45821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45821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45821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45821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45821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45821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45821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45821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45821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45821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45821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45821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45821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45821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45821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45821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45821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45821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45821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45821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45821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45821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45821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45821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45821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45821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45821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45821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45821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45821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45821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45821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45821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45821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45821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45821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45821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45821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45821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45821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45821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45821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45821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45821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45821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45821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45821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45821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45821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45821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45821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45821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45821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45821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45821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45821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45821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45821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45821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45821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45821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45821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45821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45821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45821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45821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45821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45821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45821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45821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45821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45821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45821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45821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45821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45821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45821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45821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45821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45821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45821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45821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45821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45821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45821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45821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45821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45821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45821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45821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45821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45821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45821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45821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45821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45821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45821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45821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45821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45821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45821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45821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45821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45821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45821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45821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45821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45821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45821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45821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45821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45821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45821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45821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45821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45821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45821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45821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45821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45821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45821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45821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45821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45821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45821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45821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45821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45821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45821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45821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45821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45821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45821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45821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45821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45821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45821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45821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45821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45821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45821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45821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45821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45821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45821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45821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45821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45821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45821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45821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45821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45821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45821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45821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45821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45821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45821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45821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45821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45821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45821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45821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45821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45821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45821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45821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45821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45821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45821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45821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45821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45821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45821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45821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45821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45821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45821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45821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45821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45821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45821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45821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45821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45821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45821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45821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45821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45821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45821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45821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45821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21045-2025</t>
        </is>
      </c>
      <c r="B1127" s="1" t="n">
        <v>45777</v>
      </c>
      <c r="C1127" s="1" t="n">
        <v>45821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22979-2025</t>
        </is>
      </c>
      <c r="B1128" s="1" t="n">
        <v>45790</v>
      </c>
      <c r="C1128" s="1" t="n">
        <v>45821</v>
      </c>
      <c r="D1128" t="inlineStr">
        <is>
          <t>ÖREBRO LÄN</t>
        </is>
      </c>
      <c r="E1128" t="inlineStr">
        <is>
          <t>ASKERSUND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22999-2025</t>
        </is>
      </c>
      <c r="B1129" s="1" t="n">
        <v>45790</v>
      </c>
      <c r="C1129" s="1" t="n">
        <v>45821</v>
      </c>
      <c r="D1129" t="inlineStr">
        <is>
          <t>ÖREBRO LÄN</t>
        </is>
      </c>
      <c r="E1129" t="inlineStr">
        <is>
          <t>ASKERSUND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23233-2025</t>
        </is>
      </c>
      <c r="B1130" s="1" t="n">
        <v>45791</v>
      </c>
      <c r="C1130" s="1" t="n">
        <v>45821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26198-2025</t>
        </is>
      </c>
      <c r="B1131" s="1" t="n">
        <v>45805</v>
      </c>
      <c r="C1131" s="1" t="n">
        <v>45821</v>
      </c>
      <c r="D1131" t="inlineStr">
        <is>
          <t>ÖREBRO LÄN</t>
        </is>
      </c>
      <c r="E1131" t="inlineStr">
        <is>
          <t>ASKERSUND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26868-2025</t>
        </is>
      </c>
      <c r="B1132" s="1" t="n">
        <v>45810</v>
      </c>
      <c r="C1132" s="1" t="n">
        <v>45821</v>
      </c>
      <c r="D1132" t="inlineStr">
        <is>
          <t>ÖREBRO LÄN</t>
        </is>
      </c>
      <c r="E1132" t="inlineStr">
        <is>
          <t>ASKERSUND</t>
        </is>
      </c>
      <c r="F1132" t="inlineStr">
        <is>
          <t>Sveaskog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27617-2025</t>
        </is>
      </c>
      <c r="B1133" s="1" t="n">
        <v>45813</v>
      </c>
      <c r="C1133" s="1" t="n">
        <v>45821</v>
      </c>
      <c r="D1133" t="inlineStr">
        <is>
          <t>ÖREBRO LÄN</t>
        </is>
      </c>
      <c r="E1133" t="inlineStr">
        <is>
          <t>ASKERSUND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27835-2025</t>
        </is>
      </c>
      <c r="B1134" s="1" t="n">
        <v>45817</v>
      </c>
      <c r="C1134" s="1" t="n">
        <v>45821</v>
      </c>
      <c r="D1134" t="inlineStr">
        <is>
          <t>ÖREBRO LÄN</t>
        </is>
      </c>
      <c r="E1134" t="inlineStr">
        <is>
          <t>ASKERSUND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45821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27840-2025</t>
        </is>
      </c>
      <c r="B1136" s="1" t="n">
        <v>45817</v>
      </c>
      <c r="C1136" s="1" t="n">
        <v>45821</v>
      </c>
      <c r="D1136" t="inlineStr">
        <is>
          <t>ÖREBRO LÄN</t>
        </is>
      </c>
      <c r="E1136" t="inlineStr">
        <is>
          <t>ASKERSUND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27819-2025</t>
        </is>
      </c>
      <c r="B1137" s="1" t="n">
        <v>45817</v>
      </c>
      <c r="C1137" s="1" t="n">
        <v>45821</v>
      </c>
      <c r="D1137" t="inlineStr">
        <is>
          <t>ÖREBRO LÄN</t>
        </is>
      </c>
      <c r="E1137" t="inlineStr">
        <is>
          <t>ASKERSUND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28395-2025</t>
        </is>
      </c>
      <c r="B1138" s="1" t="n">
        <v>45819</v>
      </c>
      <c r="C1138" s="1" t="n">
        <v>45821</v>
      </c>
      <c r="D1138" t="inlineStr">
        <is>
          <t>ÖREBRO LÄN</t>
        </is>
      </c>
      <c r="E1138" t="inlineStr">
        <is>
          <t>ASKERSUND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28413-2025</t>
        </is>
      </c>
      <c r="B1139" s="1" t="n">
        <v>45819</v>
      </c>
      <c r="C1139" s="1" t="n">
        <v>45821</v>
      </c>
      <c r="D1139" t="inlineStr">
        <is>
          <t>ÖREBRO LÄN</t>
        </is>
      </c>
      <c r="E1139" t="inlineStr">
        <is>
          <t>ASKERSUND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2025-06-13T18:40:50Z</dcterms:created>
  <dcterms:modified xmlns:dcterms="http://purl.org/dc/terms/" xmlns:xsi="http://www.w3.org/2001/XMLSchema-instance" xsi:type="dcterms:W3CDTF">2025-06-13T18:40:50Z</dcterms:modified>
</cp:coreProperties>
</file>