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45895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45895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45895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45895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45895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45895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45895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45895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45895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45895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45895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45895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45895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45895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45895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45895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45895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45895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49813-2023</t>
        </is>
      </c>
      <c r="B20" s="1" t="n">
        <v>45212</v>
      </c>
      <c r="C20" s="1" t="n">
        <v>45895</v>
      </c>
      <c r="D20" t="inlineStr">
        <is>
          <t>ÖREBRO LÄN</t>
        </is>
      </c>
      <c r="E20" t="inlineStr">
        <is>
          <t>ASKERSUND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Björksplintborre
Mattlummer</t>
        </is>
      </c>
      <c r="S20">
        <f>HYPERLINK("https://klasma.github.io/Logging_1882/artfynd/A 49813-2023 artfynd.xlsx", "A 49813-2023")</f>
        <v/>
      </c>
      <c r="T20">
        <f>HYPERLINK("https://klasma.github.io/Logging_1882/kartor/A 49813-2023 karta.png", "A 49813-2023")</f>
        <v/>
      </c>
      <c r="V20">
        <f>HYPERLINK("https://klasma.github.io/Logging_1882/klagomål/A 49813-2023 FSC-klagomål.docx", "A 49813-2023")</f>
        <v/>
      </c>
      <c r="W20">
        <f>HYPERLINK("https://klasma.github.io/Logging_1882/klagomålsmail/A 49813-2023 FSC-klagomål mail.docx", "A 49813-2023")</f>
        <v/>
      </c>
      <c r="X20">
        <f>HYPERLINK("https://klasma.github.io/Logging_1882/tillsyn/A 49813-2023 tillsynsbegäran.docx", "A 49813-2023")</f>
        <v/>
      </c>
      <c r="Y20">
        <f>HYPERLINK("https://klasma.github.io/Logging_1882/tillsynsmail/A 49813-2023 tillsynsbegäran mail.docx", "A 49813-2023")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45895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34847-2025</t>
        </is>
      </c>
      <c r="B22" s="1" t="n">
        <v>45849.41954861111</v>
      </c>
      <c r="C22" s="1" t="n">
        <v>45895</v>
      </c>
      <c r="D22" t="inlineStr">
        <is>
          <t>ÖREBRO LÄN</t>
        </is>
      </c>
      <c r="E22" t="inlineStr">
        <is>
          <t>ASKERSUND</t>
        </is>
      </c>
      <c r="G22" t="n">
        <v>3.5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34847-2025 artfynd.xlsx", "A 34847-2025")</f>
        <v/>
      </c>
      <c r="T22">
        <f>HYPERLINK("https://klasma.github.io/Logging_1882/kartor/A 34847-2025 karta.png", "A 34847-2025")</f>
        <v/>
      </c>
      <c r="V22">
        <f>HYPERLINK("https://klasma.github.io/Logging_1882/klagomål/A 34847-2025 FSC-klagomål.docx", "A 34847-2025")</f>
        <v/>
      </c>
      <c r="W22">
        <f>HYPERLINK("https://klasma.github.io/Logging_1882/klagomålsmail/A 34847-2025 FSC-klagomål mail.docx", "A 34847-2025")</f>
        <v/>
      </c>
      <c r="X22">
        <f>HYPERLINK("https://klasma.github.io/Logging_1882/tillsyn/A 34847-2025 tillsynsbegäran.docx", "A 34847-2025")</f>
        <v/>
      </c>
      <c r="Y22">
        <f>HYPERLINK("https://klasma.github.io/Logging_1882/tillsynsmail/A 34847-2025 tillsynsbegäran mail.docx", "A 34847-2025")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45895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45895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45895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45895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45895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45895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45895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45895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45895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45895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45895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45895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45895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45895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45895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45895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45895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44888-2024</t>
        </is>
      </c>
      <c r="B40" s="1" t="n">
        <v>45575</v>
      </c>
      <c r="C40" s="1" t="n">
        <v>45895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HYPERLINK("https://klasma.github.io/Logging_1882/artfynd/A 44888-2024 artfynd.xlsx", "A 44888-2024")</f>
        <v/>
      </c>
      <c r="T40">
        <f>HYPERLINK("https://klasma.github.io/Logging_1882/kartor/A 44888-2024 karta.png", "A 44888-2024")</f>
        <v/>
      </c>
      <c r="V40">
        <f>HYPERLINK("https://klasma.github.io/Logging_1882/klagomål/A 44888-2024 FSC-klagomål.docx", "A 44888-2024")</f>
        <v/>
      </c>
      <c r="W40">
        <f>HYPERLINK("https://klasma.github.io/Logging_1882/klagomålsmail/A 44888-2024 FSC-klagomål mail.docx", "A 44888-2024")</f>
        <v/>
      </c>
      <c r="X40">
        <f>HYPERLINK("https://klasma.github.io/Logging_1882/tillsyn/A 44888-2024 tillsynsbegäran.docx", "A 44888-2024")</f>
        <v/>
      </c>
      <c r="Y40">
        <f>HYPERLINK("https://klasma.github.io/Logging_1882/tillsynsmail/A 44888-2024 tillsynsbegäran mail.docx", "A 44888-2024")</f>
        <v/>
      </c>
    </row>
    <row r="41" ht="15" customHeight="1">
      <c r="A41" t="inlineStr">
        <is>
          <t>A 48879-2022</t>
        </is>
      </c>
      <c r="B41" s="1" t="n">
        <v>44859</v>
      </c>
      <c r="C41" s="1" t="n">
        <v>45895</v>
      </c>
      <c r="D41" t="inlineStr">
        <is>
          <t>ÖREBRO LÄN</t>
        </is>
      </c>
      <c r="E41" t="inlineStr">
        <is>
          <t>ASKERSUND</t>
        </is>
      </c>
      <c r="G41" t="n">
        <v>8.199999999999999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Rutspindling</t>
        </is>
      </c>
      <c r="S41">
        <f>HYPERLINK("https://klasma.github.io/Logging_1882/artfynd/A 48879-2022 artfynd.xlsx", "A 48879-2022")</f>
        <v/>
      </c>
      <c r="T41">
        <f>HYPERLINK("https://klasma.github.io/Logging_1882/kartor/A 48879-2022 karta.png", "A 48879-2022")</f>
        <v/>
      </c>
      <c r="V41">
        <f>HYPERLINK("https://klasma.github.io/Logging_1882/klagomål/A 48879-2022 FSC-klagomål.docx", "A 48879-2022")</f>
        <v/>
      </c>
      <c r="W41">
        <f>HYPERLINK("https://klasma.github.io/Logging_1882/klagomålsmail/A 48879-2022 FSC-klagomål mail.docx", "A 48879-2022")</f>
        <v/>
      </c>
      <c r="X41">
        <f>HYPERLINK("https://klasma.github.io/Logging_1882/tillsyn/A 48879-2022 tillsynsbegäran.docx", "A 48879-2022")</f>
        <v/>
      </c>
      <c r="Y41">
        <f>HYPERLINK("https://klasma.github.io/Logging_1882/tillsynsmail/A 48879-2022 tillsynsbegäran mail.docx", "A 48879-2022")</f>
        <v/>
      </c>
    </row>
    <row r="42" ht="15" customHeight="1">
      <c r="A42" t="inlineStr">
        <is>
          <t>A 7069-2024</t>
        </is>
      </c>
      <c r="B42" s="1" t="n">
        <v>45343.68663194445</v>
      </c>
      <c r="C42" s="1" t="n">
        <v>45895</v>
      </c>
      <c r="D42" t="inlineStr">
        <is>
          <t>ÖREBRO LÄN</t>
        </is>
      </c>
      <c r="E42" t="inlineStr">
        <is>
          <t>ASKERSUND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HYPERLINK("https://klasma.github.io/Logging_1882/artfynd/A 7069-2024 artfynd.xlsx", "A 7069-2024")</f>
        <v/>
      </c>
      <c r="T42">
        <f>HYPERLINK("https://klasma.github.io/Logging_1882/kartor/A 7069-2024 karta.png", "A 7069-2024")</f>
        <v/>
      </c>
      <c r="V42">
        <f>HYPERLINK("https://klasma.github.io/Logging_1882/klagomål/A 7069-2024 FSC-klagomål.docx", "A 7069-2024")</f>
        <v/>
      </c>
      <c r="W42">
        <f>HYPERLINK("https://klasma.github.io/Logging_1882/klagomålsmail/A 7069-2024 FSC-klagomål mail.docx", "A 7069-2024")</f>
        <v/>
      </c>
      <c r="X42">
        <f>HYPERLINK("https://klasma.github.io/Logging_1882/tillsyn/A 7069-2024 tillsynsbegäran.docx", "A 7069-2024")</f>
        <v/>
      </c>
      <c r="Y42">
        <f>HYPERLINK("https://klasma.github.io/Logging_1882/tillsynsmail/A 7069-2024 tillsynsbegäran mail.docx", "A 7069-2024")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45895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45895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45895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45895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45895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29366-2025</t>
        </is>
      </c>
      <c r="B48" s="1" t="n">
        <v>45824.57144675926</v>
      </c>
      <c r="C48" s="1" t="n">
        <v>45895</v>
      </c>
      <c r="D48" t="inlineStr">
        <is>
          <t>ÖREBRO LÄN</t>
        </is>
      </c>
      <c r="E48" t="inlineStr">
        <is>
          <t>ASKERSUND</t>
        </is>
      </c>
      <c r="G48" t="n">
        <v>10.9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29366-2025 artfynd.xlsx", "A 29366-2025")</f>
        <v/>
      </c>
      <c r="T48">
        <f>HYPERLINK("https://klasma.github.io/Logging_1882/kartor/A 29366-2025 karta.png", "A 29366-2025")</f>
        <v/>
      </c>
      <c r="V48">
        <f>HYPERLINK("https://klasma.github.io/Logging_1882/klagomål/A 29366-2025 FSC-klagomål.docx", "A 29366-2025")</f>
        <v/>
      </c>
      <c r="W48">
        <f>HYPERLINK("https://klasma.github.io/Logging_1882/klagomålsmail/A 29366-2025 FSC-klagomål mail.docx", "A 29366-2025")</f>
        <v/>
      </c>
      <c r="X48">
        <f>HYPERLINK("https://klasma.github.io/Logging_1882/tillsyn/A 29366-2025 tillsynsbegäran.docx", "A 29366-2025")</f>
        <v/>
      </c>
      <c r="Y48">
        <f>HYPERLINK("https://klasma.github.io/Logging_1882/tillsynsmail/A 29366-2025 tillsynsbegäran mail.docx", "A 29366-2025")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45895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12793-2025</t>
        </is>
      </c>
      <c r="B50" s="1" t="n">
        <v>45733.60920138889</v>
      </c>
      <c r="C50" s="1" t="n">
        <v>45895</v>
      </c>
      <c r="D50" t="inlineStr">
        <is>
          <t>ÖREBRO LÄN</t>
        </is>
      </c>
      <c r="E50" t="inlineStr">
        <is>
          <t>ASKERSUND</t>
        </is>
      </c>
      <c r="G50" t="n">
        <v>8.5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HYPERLINK("https://klasma.github.io/Logging_1882/artfynd/A 12793-2025 artfynd.xlsx", "A 12793-2025")</f>
        <v/>
      </c>
      <c r="T50">
        <f>HYPERLINK("https://klasma.github.io/Logging_1882/kartor/A 12793-2025 karta.png", "A 12793-2025")</f>
        <v/>
      </c>
      <c r="V50">
        <f>HYPERLINK("https://klasma.github.io/Logging_1882/klagomål/A 12793-2025 FSC-klagomål.docx", "A 12793-2025")</f>
        <v/>
      </c>
      <c r="W50">
        <f>HYPERLINK("https://klasma.github.io/Logging_1882/klagomålsmail/A 12793-2025 FSC-klagomål mail.docx", "A 12793-2025")</f>
        <v/>
      </c>
      <c r="X50">
        <f>HYPERLINK("https://klasma.github.io/Logging_1882/tillsyn/A 12793-2025 tillsynsbegäran.docx", "A 12793-2025")</f>
        <v/>
      </c>
      <c r="Y50">
        <f>HYPERLINK("https://klasma.github.io/Logging_1882/tillsynsmail/A 12793-2025 tillsynsbegäran mail.docx", "A 12793-2025")</f>
        <v/>
      </c>
      <c r="Z50">
        <f>HYPERLINK("https://klasma.github.io/Logging_1882/fåglar/A 12793-2025 prioriterade fågelarter.docx", "A 12793-2025")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45895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16677-2023</t>
        </is>
      </c>
      <c r="B52" s="1" t="n">
        <v>45030</v>
      </c>
      <c r="C52" s="1" t="n">
        <v>45895</v>
      </c>
      <c r="D52" t="inlineStr">
        <is>
          <t>ÖREBRO LÄN</t>
        </is>
      </c>
      <c r="E52" t="inlineStr">
        <is>
          <t>ASKERSUND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HYPERLINK("https://klasma.github.io/Logging_1882/artfynd/A 16677-2023 artfynd.xlsx", "A 16677-2023")</f>
        <v/>
      </c>
      <c r="T52">
        <f>HYPERLINK("https://klasma.github.io/Logging_1882/kartor/A 16677-2023 karta.png", "A 16677-2023")</f>
        <v/>
      </c>
      <c r="V52">
        <f>HYPERLINK("https://klasma.github.io/Logging_1882/klagomål/A 16677-2023 FSC-klagomål.docx", "A 16677-2023")</f>
        <v/>
      </c>
      <c r="W52">
        <f>HYPERLINK("https://klasma.github.io/Logging_1882/klagomålsmail/A 16677-2023 FSC-klagomål mail.docx", "A 16677-2023")</f>
        <v/>
      </c>
      <c r="X52">
        <f>HYPERLINK("https://klasma.github.io/Logging_1882/tillsyn/A 16677-2023 tillsynsbegäran.docx", "A 16677-2023")</f>
        <v/>
      </c>
      <c r="Y52">
        <f>HYPERLINK("https://klasma.github.io/Logging_1882/tillsynsmail/A 16677-2023 tillsynsbegäran mail.docx", "A 16677-2023")</f>
        <v/>
      </c>
    </row>
    <row r="53" ht="15" customHeight="1">
      <c r="A53" t="inlineStr">
        <is>
          <t>A 34515-2024</t>
        </is>
      </c>
      <c r="B53" s="1" t="n">
        <v>45525</v>
      </c>
      <c r="C53" s="1" t="n">
        <v>45895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HYPERLINK("https://klasma.github.io/Logging_1882/artfynd/A 34515-2024 artfynd.xlsx", "A 34515-2024")</f>
        <v/>
      </c>
      <c r="T53">
        <f>HYPERLINK("https://klasma.github.io/Logging_1882/kartor/A 34515-2024 karta.png", "A 34515-2024")</f>
        <v/>
      </c>
      <c r="V53">
        <f>HYPERLINK("https://klasma.github.io/Logging_1882/klagomål/A 34515-2024 FSC-klagomål.docx", "A 34515-2024")</f>
        <v/>
      </c>
      <c r="W53">
        <f>HYPERLINK("https://klasma.github.io/Logging_1882/klagomålsmail/A 34515-2024 FSC-klagomål mail.docx", "A 34515-2024")</f>
        <v/>
      </c>
      <c r="X53">
        <f>HYPERLINK("https://klasma.github.io/Logging_1882/tillsyn/A 34515-2024 tillsynsbegäran.docx", "A 34515-2024")</f>
        <v/>
      </c>
      <c r="Y53">
        <f>HYPERLINK("https://klasma.github.io/Logging_1882/tillsynsmail/A 34515-2024 tillsynsbegäran mail.docx", "A 34515-2024")</f>
        <v/>
      </c>
      <c r="Z53">
        <f>HYPERLINK("https://klasma.github.io/Logging_1882/fåglar/A 34515-2024 prioriterade fågelarter.docx", "A 34515-2024")</f>
        <v/>
      </c>
    </row>
    <row r="54" ht="15" customHeight="1">
      <c r="A54" t="inlineStr">
        <is>
          <t>A 13408-2025</t>
        </is>
      </c>
      <c r="B54" s="1" t="n">
        <v>45735.86130787037</v>
      </c>
      <c r="C54" s="1" t="n">
        <v>45895</v>
      </c>
      <c r="D54" t="inlineStr">
        <is>
          <t>ÖREBRO LÄN</t>
        </is>
      </c>
      <c r="E54" t="inlineStr">
        <is>
          <t>ASKERSUND</t>
        </is>
      </c>
      <c r="G54" t="n">
        <v>13.3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HYPERLINK("https://klasma.github.io/Logging_1882/artfynd/A 13408-2025 artfynd.xlsx", "A 13408-2025")</f>
        <v/>
      </c>
      <c r="T54">
        <f>HYPERLINK("https://klasma.github.io/Logging_1882/kartor/A 13408-2025 karta.png", "A 13408-2025")</f>
        <v/>
      </c>
      <c r="V54">
        <f>HYPERLINK("https://klasma.github.io/Logging_1882/klagomål/A 13408-2025 FSC-klagomål.docx", "A 13408-2025")</f>
        <v/>
      </c>
      <c r="W54">
        <f>HYPERLINK("https://klasma.github.io/Logging_1882/klagomålsmail/A 13408-2025 FSC-klagomål mail.docx", "A 13408-2025")</f>
        <v/>
      </c>
      <c r="X54">
        <f>HYPERLINK("https://klasma.github.io/Logging_1882/tillsyn/A 13408-2025 tillsynsbegäran.docx", "A 13408-2025")</f>
        <v/>
      </c>
      <c r="Y54">
        <f>HYPERLINK("https://klasma.github.io/Logging_1882/tillsynsmail/A 13408-2025 tillsynsbegäran mail.docx", "A 13408-2025")</f>
        <v/>
      </c>
    </row>
    <row r="55" ht="15" customHeight="1">
      <c r="A55" t="inlineStr">
        <is>
          <t>A 4683-2025</t>
        </is>
      </c>
      <c r="B55" s="1" t="n">
        <v>45687.86934027778</v>
      </c>
      <c r="C55" s="1" t="n">
        <v>45895</v>
      </c>
      <c r="D55" t="inlineStr">
        <is>
          <t>ÖREBRO LÄN</t>
        </is>
      </c>
      <c r="E55" t="inlineStr">
        <is>
          <t>ASKERSUND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4683-2025 artfynd.xlsx", "A 4683-2025")</f>
        <v/>
      </c>
      <c r="T55">
        <f>HYPERLINK("https://klasma.github.io/Logging_1882/kartor/A 4683-2025 karta.png", "A 4683-2025")</f>
        <v/>
      </c>
      <c r="V55">
        <f>HYPERLINK("https://klasma.github.io/Logging_1882/klagomål/A 4683-2025 FSC-klagomål.docx", "A 4683-2025")</f>
        <v/>
      </c>
      <c r="W55">
        <f>HYPERLINK("https://klasma.github.io/Logging_1882/klagomålsmail/A 4683-2025 FSC-klagomål mail.docx", "A 4683-2025")</f>
        <v/>
      </c>
      <c r="X55">
        <f>HYPERLINK("https://klasma.github.io/Logging_1882/tillsyn/A 4683-2025 tillsynsbegäran.docx", "A 4683-2025")</f>
        <v/>
      </c>
      <c r="Y55">
        <f>HYPERLINK("https://klasma.github.io/Logging_1882/tillsynsmail/A 4683-2025 tillsynsbegäran mail.docx", "A 4683-2025")</f>
        <v/>
      </c>
    </row>
    <row r="56" ht="15" customHeight="1">
      <c r="A56" t="inlineStr">
        <is>
          <t>A 7845-2025</t>
        </is>
      </c>
      <c r="B56" s="1" t="n">
        <v>45706.66359953704</v>
      </c>
      <c r="C56" s="1" t="n">
        <v>45895</v>
      </c>
      <c r="D56" t="inlineStr">
        <is>
          <t>ÖREBRO LÄN</t>
        </is>
      </c>
      <c r="E56" t="inlineStr">
        <is>
          <t>ASKERSUND</t>
        </is>
      </c>
      <c r="F56" t="inlineStr">
        <is>
          <t>Kyrkan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HYPERLINK("https://klasma.github.io/Logging_1882/artfynd/A 7845-2025 artfynd.xlsx", "A 7845-2025")</f>
        <v/>
      </c>
      <c r="T56">
        <f>HYPERLINK("https://klasma.github.io/Logging_1882/kartor/A 7845-2025 karta.png", "A 7845-2025")</f>
        <v/>
      </c>
      <c r="V56">
        <f>HYPERLINK("https://klasma.github.io/Logging_1882/klagomål/A 7845-2025 FSC-klagomål.docx", "A 7845-2025")</f>
        <v/>
      </c>
      <c r="W56">
        <f>HYPERLINK("https://klasma.github.io/Logging_1882/klagomålsmail/A 7845-2025 FSC-klagomål mail.docx", "A 7845-2025")</f>
        <v/>
      </c>
      <c r="X56">
        <f>HYPERLINK("https://klasma.github.io/Logging_1882/tillsyn/A 7845-2025 tillsynsbegäran.docx", "A 7845-2025")</f>
        <v/>
      </c>
      <c r="Y56">
        <f>HYPERLINK("https://klasma.github.io/Logging_1882/tillsynsmail/A 7845-2025 tillsynsbegäran mail.docx", "A 7845-2025")</f>
        <v/>
      </c>
    </row>
    <row r="57" ht="15" customHeight="1">
      <c r="A57" t="inlineStr">
        <is>
          <t>A 2561-2024</t>
        </is>
      </c>
      <c r="B57" s="1" t="n">
        <v>45313</v>
      </c>
      <c r="C57" s="1" t="n">
        <v>45895</v>
      </c>
      <c r="D57" t="inlineStr">
        <is>
          <t>ÖREBRO LÄN</t>
        </is>
      </c>
      <c r="E57" t="inlineStr">
        <is>
          <t>ASKERSUND</t>
        </is>
      </c>
      <c r="G57" t="n">
        <v>5.4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HYPERLINK("https://klasma.github.io/Logging_1882/artfynd/A 2561-2024 artfynd.xlsx", "A 2561-2024")</f>
        <v/>
      </c>
      <c r="T57">
        <f>HYPERLINK("https://klasma.github.io/Logging_1882/kartor/A 2561-2024 karta.png", "A 2561-2024")</f>
        <v/>
      </c>
      <c r="V57">
        <f>HYPERLINK("https://klasma.github.io/Logging_1882/klagomål/A 2561-2024 FSC-klagomål.docx", "A 2561-2024")</f>
        <v/>
      </c>
      <c r="W57">
        <f>HYPERLINK("https://klasma.github.io/Logging_1882/klagomålsmail/A 2561-2024 FSC-klagomål mail.docx", "A 2561-2024")</f>
        <v/>
      </c>
      <c r="X57">
        <f>HYPERLINK("https://klasma.github.io/Logging_1882/tillsyn/A 2561-2024 tillsynsbegäran.docx", "A 2561-2024")</f>
        <v/>
      </c>
      <c r="Y57">
        <f>HYPERLINK("https://klasma.github.io/Logging_1882/tillsynsmail/A 2561-2024 tillsynsbegäran mail.docx", "A 2561-2024")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45895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45895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45895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44159-2020</t>
        </is>
      </c>
      <c r="B61" s="1" t="n">
        <v>44083.72096064815</v>
      </c>
      <c r="C61" s="1" t="n">
        <v>45895</v>
      </c>
      <c r="D61" t="inlineStr">
        <is>
          <t>ÖREBRO LÄN</t>
        </is>
      </c>
      <c r="E61" t="inlineStr">
        <is>
          <t>ASKERSUND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45895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45895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60240-2021</t>
        </is>
      </c>
      <c r="B64" s="1" t="n">
        <v>44495</v>
      </c>
      <c r="C64" s="1" t="n">
        <v>45895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45895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45895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45895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45895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45895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45895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45895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69556-2020</t>
        </is>
      </c>
      <c r="B72" s="1" t="n">
        <v>44194</v>
      </c>
      <c r="C72" s="1" t="n">
        <v>45895</v>
      </c>
      <c r="D72" t="inlineStr">
        <is>
          <t>ÖREBRO LÄN</t>
        </is>
      </c>
      <c r="E72" t="inlineStr">
        <is>
          <t>ASKERSUND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45895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45895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45895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45895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45895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44299-2020</t>
        </is>
      </c>
      <c r="B78" s="1" t="n">
        <v>44084</v>
      </c>
      <c r="C78" s="1" t="n">
        <v>45895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64901-2020</t>
        </is>
      </c>
      <c r="B79" s="1" t="n">
        <v>44167</v>
      </c>
      <c r="C79" s="1" t="n">
        <v>45895</v>
      </c>
      <c r="D79" t="inlineStr">
        <is>
          <t>ÖREBRO LÄN</t>
        </is>
      </c>
      <c r="E79" t="inlineStr">
        <is>
          <t>ASKERSUND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7400-2022</t>
        </is>
      </c>
      <c r="B80" s="1" t="n">
        <v>44606</v>
      </c>
      <c r="C80" s="1" t="n">
        <v>45895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45895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45895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45895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68719-2021</t>
        </is>
      </c>
      <c r="B84" s="1" t="n">
        <v>44529</v>
      </c>
      <c r="C84" s="1" t="n">
        <v>45895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45895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45895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45895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45895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45895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45895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45895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45895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45895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45895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40999-2022</t>
        </is>
      </c>
      <c r="B95" s="1" t="n">
        <v>44825.50923611111</v>
      </c>
      <c r="C95" s="1" t="n">
        <v>45895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45895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45895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15569-2021</t>
        </is>
      </c>
      <c r="B98" s="1" t="n">
        <v>44285</v>
      </c>
      <c r="C98" s="1" t="n">
        <v>45895</v>
      </c>
      <c r="D98" t="inlineStr">
        <is>
          <t>ÖREBRO LÄN</t>
        </is>
      </c>
      <c r="E98" t="inlineStr">
        <is>
          <t>ASKERSUND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45895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45895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14461-2021</t>
        </is>
      </c>
      <c r="B101" s="1" t="n">
        <v>44279.54508101852</v>
      </c>
      <c r="C101" s="1" t="n">
        <v>45895</v>
      </c>
      <c r="D101" t="inlineStr">
        <is>
          <t>ÖREBRO LÄN</t>
        </is>
      </c>
      <c r="E101" t="inlineStr">
        <is>
          <t>ASKERSUND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45895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45895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45895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52602-2021</t>
        </is>
      </c>
      <c r="B105" s="1" t="n">
        <v>44466.59140046296</v>
      </c>
      <c r="C105" s="1" t="n">
        <v>45895</v>
      </c>
      <c r="D105" t="inlineStr">
        <is>
          <t>ÖREBRO LÄN</t>
        </is>
      </c>
      <c r="E105" t="inlineStr">
        <is>
          <t>ASKERSUND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45895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45895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45895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45895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45895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45895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45895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45895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45895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45895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45895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68831-2020</t>
        </is>
      </c>
      <c r="B117" s="1" t="n">
        <v>44187</v>
      </c>
      <c r="C117" s="1" t="n">
        <v>45895</v>
      </c>
      <c r="D117" t="inlineStr">
        <is>
          <t>ÖREBRO LÄN</t>
        </is>
      </c>
      <c r="E117" t="inlineStr">
        <is>
          <t>ASKERSUND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45895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45895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45895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45895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45895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45895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45895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45895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45895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32319-2022</t>
        </is>
      </c>
      <c r="B127" s="1" t="n">
        <v>44781</v>
      </c>
      <c r="C127" s="1" t="n">
        <v>45895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35796-2021</t>
        </is>
      </c>
      <c r="B128" s="1" t="n">
        <v>44386</v>
      </c>
      <c r="C128" s="1" t="n">
        <v>45895</v>
      </c>
      <c r="D128" t="inlineStr">
        <is>
          <t>ÖREBRO LÄN</t>
        </is>
      </c>
      <c r="E128" t="inlineStr">
        <is>
          <t>ASKERSUND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47517-2021</t>
        </is>
      </c>
      <c r="B129" s="1" t="n">
        <v>44447</v>
      </c>
      <c r="C129" s="1" t="n">
        <v>45895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44150-2021</t>
        </is>
      </c>
      <c r="B130" s="1" t="n">
        <v>44434</v>
      </c>
      <c r="C130" s="1" t="n">
        <v>45895</v>
      </c>
      <c r="D130" t="inlineStr">
        <is>
          <t>ÖREBRO LÄN</t>
        </is>
      </c>
      <c r="E130" t="inlineStr">
        <is>
          <t>ASKERSUND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48428-2021</t>
        </is>
      </c>
      <c r="B131" s="1" t="n">
        <v>44449</v>
      </c>
      <c r="C131" s="1" t="n">
        <v>45895</v>
      </c>
      <c r="D131" t="inlineStr">
        <is>
          <t>ÖREBRO LÄN</t>
        </is>
      </c>
      <c r="E131" t="inlineStr">
        <is>
          <t>ASKERSUND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48463-2021</t>
        </is>
      </c>
      <c r="B132" s="1" t="n">
        <v>44452.38803240741</v>
      </c>
      <c r="C132" s="1" t="n">
        <v>45895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64008-2021</t>
        </is>
      </c>
      <c r="B133" s="1" t="n">
        <v>44510.29388888889</v>
      </c>
      <c r="C133" s="1" t="n">
        <v>45895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51227-2021</t>
        </is>
      </c>
      <c r="B134" s="1" t="n">
        <v>44461.51197916667</v>
      </c>
      <c r="C134" s="1" t="n">
        <v>45895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38271-2021</t>
        </is>
      </c>
      <c r="B135" s="1" t="n">
        <v>44405</v>
      </c>
      <c r="C135" s="1" t="n">
        <v>45895</v>
      </c>
      <c r="D135" t="inlineStr">
        <is>
          <t>ÖREBRO LÄN</t>
        </is>
      </c>
      <c r="E135" t="inlineStr">
        <is>
          <t>ASKERSUND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44340-2020</t>
        </is>
      </c>
      <c r="B136" s="1" t="n">
        <v>44084</v>
      </c>
      <c r="C136" s="1" t="n">
        <v>45895</v>
      </c>
      <c r="D136" t="inlineStr">
        <is>
          <t>ÖREBRO LÄN</t>
        </is>
      </c>
      <c r="E136" t="inlineStr">
        <is>
          <t>ASKERSUND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40404-2021</t>
        </is>
      </c>
      <c r="B137" s="1" t="n">
        <v>44419</v>
      </c>
      <c r="C137" s="1" t="n">
        <v>45895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41252-2021</t>
        </is>
      </c>
      <c r="B138" s="1" t="n">
        <v>44424</v>
      </c>
      <c r="C138" s="1" t="n">
        <v>45895</v>
      </c>
      <c r="D138" t="inlineStr">
        <is>
          <t>ÖREBRO LÄN</t>
        </is>
      </c>
      <c r="E138" t="inlineStr">
        <is>
          <t>ASKERSUND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30787-2022</t>
        </is>
      </c>
      <c r="B139" s="1" t="n">
        <v>44764</v>
      </c>
      <c r="C139" s="1" t="n">
        <v>45895</v>
      </c>
      <c r="D139" t="inlineStr">
        <is>
          <t>ÖREBRO LÄN</t>
        </is>
      </c>
      <c r="E139" t="inlineStr">
        <is>
          <t>ASKERSUND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30878-2022</t>
        </is>
      </c>
      <c r="B140" s="1" t="n">
        <v>44767</v>
      </c>
      <c r="C140" s="1" t="n">
        <v>45895</v>
      </c>
      <c r="D140" t="inlineStr">
        <is>
          <t>ÖREBRO LÄN</t>
        </is>
      </c>
      <c r="E140" t="inlineStr">
        <is>
          <t>ASKERSUND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46966-2021</t>
        </is>
      </c>
      <c r="B141" s="1" t="n">
        <v>44446</v>
      </c>
      <c r="C141" s="1" t="n">
        <v>45895</v>
      </c>
      <c r="D141" t="inlineStr">
        <is>
          <t>ÖREBRO LÄN</t>
        </is>
      </c>
      <c r="E141" t="inlineStr">
        <is>
          <t>ASKERSUND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46954-2021</t>
        </is>
      </c>
      <c r="B142" s="1" t="n">
        <v>44446</v>
      </c>
      <c r="C142" s="1" t="n">
        <v>45895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49308-2021</t>
        </is>
      </c>
      <c r="B143" s="1" t="n">
        <v>44454.50037037037</v>
      </c>
      <c r="C143" s="1" t="n">
        <v>45895</v>
      </c>
      <c r="D143" t="inlineStr">
        <is>
          <t>ÖREBRO LÄN</t>
        </is>
      </c>
      <c r="E143" t="inlineStr">
        <is>
          <t>ASKERSUND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56294-2021</t>
        </is>
      </c>
      <c r="B144" s="1" t="n">
        <v>44480</v>
      </c>
      <c r="C144" s="1" t="n">
        <v>45895</v>
      </c>
      <c r="D144" t="inlineStr">
        <is>
          <t>ÖREBRO LÄN</t>
        </is>
      </c>
      <c r="E144" t="inlineStr">
        <is>
          <t>ASKERSUND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56363-2021</t>
        </is>
      </c>
      <c r="B145" s="1" t="n">
        <v>44480</v>
      </c>
      <c r="C145" s="1" t="n">
        <v>45895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46661-2022</t>
        </is>
      </c>
      <c r="B146" s="1" t="n">
        <v>44850</v>
      </c>
      <c r="C146" s="1" t="n">
        <v>45895</v>
      </c>
      <c r="D146" t="inlineStr">
        <is>
          <t>ÖREBRO LÄN</t>
        </is>
      </c>
      <c r="E146" t="inlineStr">
        <is>
          <t>ASKERSUND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22665-2022</t>
        </is>
      </c>
      <c r="B147" s="1" t="n">
        <v>44714</v>
      </c>
      <c r="C147" s="1" t="n">
        <v>45895</v>
      </c>
      <c r="D147" t="inlineStr">
        <is>
          <t>ÖREBRO LÄN</t>
        </is>
      </c>
      <c r="E147" t="inlineStr">
        <is>
          <t>ASKERSUND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57351-2020</t>
        </is>
      </c>
      <c r="B148" s="1" t="n">
        <v>44139</v>
      </c>
      <c r="C148" s="1" t="n">
        <v>45895</v>
      </c>
      <c r="D148" t="inlineStr">
        <is>
          <t>ÖREBRO LÄN</t>
        </is>
      </c>
      <c r="E148" t="inlineStr">
        <is>
          <t>ASKERSUND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50494-2020</t>
        </is>
      </c>
      <c r="B149" s="1" t="n">
        <v>44104</v>
      </c>
      <c r="C149" s="1" t="n">
        <v>45895</v>
      </c>
      <c r="D149" t="inlineStr">
        <is>
          <t>ÖREBRO LÄN</t>
        </is>
      </c>
      <c r="E149" t="inlineStr">
        <is>
          <t>ASKERSUND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42646-2020</t>
        </is>
      </c>
      <c r="B150" s="1" t="n">
        <v>44077</v>
      </c>
      <c r="C150" s="1" t="n">
        <v>45895</v>
      </c>
      <c r="D150" t="inlineStr">
        <is>
          <t>ÖREBRO LÄN</t>
        </is>
      </c>
      <c r="E150" t="inlineStr">
        <is>
          <t>ASKERSUND</t>
        </is>
      </c>
      <c r="G150" t="n">
        <v>13.6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45895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14464-2021</t>
        </is>
      </c>
      <c r="B152" s="1" t="n">
        <v>44279</v>
      </c>
      <c r="C152" s="1" t="n">
        <v>45895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57221-2020</t>
        </is>
      </c>
      <c r="B153" s="1" t="n">
        <v>44139</v>
      </c>
      <c r="C153" s="1" t="n">
        <v>45895</v>
      </c>
      <c r="D153" t="inlineStr">
        <is>
          <t>ÖREBRO LÄN</t>
        </is>
      </c>
      <c r="E153" t="inlineStr">
        <is>
          <t>ASKERSUND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63941-2021</t>
        </is>
      </c>
      <c r="B154" s="1" t="n">
        <v>44509.7458449074</v>
      </c>
      <c r="C154" s="1" t="n">
        <v>45895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45895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34998-2022</t>
        </is>
      </c>
      <c r="B156" s="1" t="n">
        <v>44796</v>
      </c>
      <c r="C156" s="1" t="n">
        <v>45895</v>
      </c>
      <c r="D156" t="inlineStr">
        <is>
          <t>ÖREBRO LÄN</t>
        </is>
      </c>
      <c r="E156" t="inlineStr">
        <is>
          <t>ASKERSUND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63647-2020</t>
        </is>
      </c>
      <c r="B157" s="1" t="n">
        <v>44162</v>
      </c>
      <c r="C157" s="1" t="n">
        <v>45895</v>
      </c>
      <c r="D157" t="inlineStr">
        <is>
          <t>ÖREBRO LÄN</t>
        </is>
      </c>
      <c r="E157" t="inlineStr">
        <is>
          <t>ASKERSUND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65000-2021</t>
        </is>
      </c>
      <c r="B158" s="1" t="n">
        <v>44514</v>
      </c>
      <c r="C158" s="1" t="n">
        <v>45895</v>
      </c>
      <c r="D158" t="inlineStr">
        <is>
          <t>ÖREBRO LÄN</t>
        </is>
      </c>
      <c r="E158" t="inlineStr">
        <is>
          <t>ASKERSUND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46649-2020</t>
        </is>
      </c>
      <c r="B159" s="1" t="n">
        <v>44095</v>
      </c>
      <c r="C159" s="1" t="n">
        <v>45895</v>
      </c>
      <c r="D159" t="inlineStr">
        <is>
          <t>ÖREBRO LÄN</t>
        </is>
      </c>
      <c r="E159" t="inlineStr">
        <is>
          <t>ASKERSUND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46259-2020</t>
        </is>
      </c>
      <c r="B160" s="1" t="n">
        <v>44092</v>
      </c>
      <c r="C160" s="1" t="n">
        <v>45895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12730-2022</t>
        </is>
      </c>
      <c r="B161" s="1" t="n">
        <v>44641</v>
      </c>
      <c r="C161" s="1" t="n">
        <v>45895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42001-2020</t>
        </is>
      </c>
      <c r="B162" s="1" t="n">
        <v>44075</v>
      </c>
      <c r="C162" s="1" t="n">
        <v>45895</v>
      </c>
      <c r="D162" t="inlineStr">
        <is>
          <t>ÖREBRO LÄN</t>
        </is>
      </c>
      <c r="E162" t="inlineStr">
        <is>
          <t>ASKERSUND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67275-2021</t>
        </is>
      </c>
      <c r="B163" s="1" t="n">
        <v>44523</v>
      </c>
      <c r="C163" s="1" t="n">
        <v>45895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53184-2020</t>
        </is>
      </c>
      <c r="B164" s="1" t="n">
        <v>44120</v>
      </c>
      <c r="C164" s="1" t="n">
        <v>45895</v>
      </c>
      <c r="D164" t="inlineStr">
        <is>
          <t>ÖREBRO LÄN</t>
        </is>
      </c>
      <c r="E164" t="inlineStr">
        <is>
          <t>ASKERSUND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40589-2021</t>
        </is>
      </c>
      <c r="B165" s="1" t="n">
        <v>44420</v>
      </c>
      <c r="C165" s="1" t="n">
        <v>45895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46012-2020</t>
        </is>
      </c>
      <c r="B166" s="1" t="n">
        <v>44088</v>
      </c>
      <c r="C166" s="1" t="n">
        <v>45895</v>
      </c>
      <c r="D166" t="inlineStr">
        <is>
          <t>ÖREBRO LÄN</t>
        </is>
      </c>
      <c r="E166" t="inlineStr">
        <is>
          <t>ASKERSUND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29997-2022</t>
        </is>
      </c>
      <c r="B167" s="1" t="n">
        <v>44756.86049768519</v>
      </c>
      <c r="C167" s="1" t="n">
        <v>45895</v>
      </c>
      <c r="D167" t="inlineStr">
        <is>
          <t>ÖREBRO LÄN</t>
        </is>
      </c>
      <c r="E167" t="inlineStr">
        <is>
          <t>ASKERSUND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829-2021</t>
        </is>
      </c>
      <c r="B168" s="1" t="n">
        <v>44204</v>
      </c>
      <c r="C168" s="1" t="n">
        <v>45895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47371-2022</t>
        </is>
      </c>
      <c r="B169" s="1" t="n">
        <v>44853</v>
      </c>
      <c r="C169" s="1" t="n">
        <v>45895</v>
      </c>
      <c r="D169" t="inlineStr">
        <is>
          <t>ÖREBRO LÄN</t>
        </is>
      </c>
      <c r="E169" t="inlineStr">
        <is>
          <t>ASKERSUND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66341-2021</t>
        </is>
      </c>
      <c r="B170" s="1" t="n">
        <v>44518</v>
      </c>
      <c r="C170" s="1" t="n">
        <v>45895</v>
      </c>
      <c r="D170" t="inlineStr">
        <is>
          <t>ÖREBRO LÄN</t>
        </is>
      </c>
      <c r="E170" t="inlineStr">
        <is>
          <t>ASKERSUND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8296-2022</t>
        </is>
      </c>
      <c r="B171" s="1" t="n">
        <v>44610</v>
      </c>
      <c r="C171" s="1" t="n">
        <v>45895</v>
      </c>
      <c r="D171" t="inlineStr">
        <is>
          <t>ÖREBRO LÄN</t>
        </is>
      </c>
      <c r="E171" t="inlineStr">
        <is>
          <t>ASKERSUND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1601-2021</t>
        </is>
      </c>
      <c r="B172" s="1" t="n">
        <v>44209</v>
      </c>
      <c r="C172" s="1" t="n">
        <v>45895</v>
      </c>
      <c r="D172" t="inlineStr">
        <is>
          <t>ÖREBRO LÄN</t>
        </is>
      </c>
      <c r="E172" t="inlineStr">
        <is>
          <t>ASKERSUND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37277-2021</t>
        </is>
      </c>
      <c r="B173" s="1" t="n">
        <v>44397</v>
      </c>
      <c r="C173" s="1" t="n">
        <v>45895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8158-2021</t>
        </is>
      </c>
      <c r="B174" s="1" t="n">
        <v>44244</v>
      </c>
      <c r="C174" s="1" t="n">
        <v>45895</v>
      </c>
      <c r="D174" t="inlineStr">
        <is>
          <t>ÖREBRO LÄN</t>
        </is>
      </c>
      <c r="E174" t="inlineStr">
        <is>
          <t>ASKERSUND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46001-2020</t>
        </is>
      </c>
      <c r="B175" s="1" t="n">
        <v>44088</v>
      </c>
      <c r="C175" s="1" t="n">
        <v>45895</v>
      </c>
      <c r="D175" t="inlineStr">
        <is>
          <t>ÖREBRO LÄN</t>
        </is>
      </c>
      <c r="E175" t="inlineStr">
        <is>
          <t>ASKERSUND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45895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45895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44978-2021</t>
        </is>
      </c>
      <c r="B178" s="1" t="n">
        <v>44438</v>
      </c>
      <c r="C178" s="1" t="n">
        <v>45895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40883-2020</t>
        </is>
      </c>
      <c r="B179" s="1" t="n">
        <v>44070</v>
      </c>
      <c r="C179" s="1" t="n">
        <v>45895</v>
      </c>
      <c r="D179" t="inlineStr">
        <is>
          <t>ÖREBRO LÄN</t>
        </is>
      </c>
      <c r="E179" t="inlineStr">
        <is>
          <t>ASKERSUND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12302-2022</t>
        </is>
      </c>
      <c r="B180" s="1" t="n">
        <v>44637</v>
      </c>
      <c r="C180" s="1" t="n">
        <v>45895</v>
      </c>
      <c r="D180" t="inlineStr">
        <is>
          <t>ÖREBRO LÄN</t>
        </is>
      </c>
      <c r="E180" t="inlineStr">
        <is>
          <t>ASKERSUND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52259-2021</t>
        </is>
      </c>
      <c r="B181" s="1" t="n">
        <v>44463</v>
      </c>
      <c r="C181" s="1" t="n">
        <v>45895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10290-2021</t>
        </is>
      </c>
      <c r="B182" s="1" t="n">
        <v>44256</v>
      </c>
      <c r="C182" s="1" t="n">
        <v>45895</v>
      </c>
      <c r="D182" t="inlineStr">
        <is>
          <t>ÖREBRO LÄN</t>
        </is>
      </c>
      <c r="E182" t="inlineStr">
        <is>
          <t>ASKERSUND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55053-2021</t>
        </is>
      </c>
      <c r="B183" s="1" t="n">
        <v>44474</v>
      </c>
      <c r="C183" s="1" t="n">
        <v>45895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38484-2021</t>
        </is>
      </c>
      <c r="B184" s="1" t="n">
        <v>44407</v>
      </c>
      <c r="C184" s="1" t="n">
        <v>45895</v>
      </c>
      <c r="D184" t="inlineStr">
        <is>
          <t>ÖREBRO LÄN</t>
        </is>
      </c>
      <c r="E184" t="inlineStr">
        <is>
          <t>ASKERSUND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54069-2020</t>
        </is>
      </c>
      <c r="B185" s="1" t="n">
        <v>44125</v>
      </c>
      <c r="C185" s="1" t="n">
        <v>45895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66010-2021</t>
        </is>
      </c>
      <c r="B186" s="1" t="n">
        <v>44517</v>
      </c>
      <c r="C186" s="1" t="n">
        <v>45895</v>
      </c>
      <c r="D186" t="inlineStr">
        <is>
          <t>ÖREBRO LÄN</t>
        </is>
      </c>
      <c r="E186" t="inlineStr">
        <is>
          <t>ASKERSUND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59889-2020</t>
        </is>
      </c>
      <c r="B187" s="1" t="n">
        <v>44151</v>
      </c>
      <c r="C187" s="1" t="n">
        <v>45895</v>
      </c>
      <c r="D187" t="inlineStr">
        <is>
          <t>ÖREBRO LÄN</t>
        </is>
      </c>
      <c r="E187" t="inlineStr">
        <is>
          <t>ASKERSUND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54647-2020</t>
        </is>
      </c>
      <c r="B188" s="1" t="n">
        <v>44127</v>
      </c>
      <c r="C188" s="1" t="n">
        <v>45895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44850-2020</t>
        </is>
      </c>
      <c r="B189" s="1" t="n">
        <v>44087.48599537037</v>
      </c>
      <c r="C189" s="1" t="n">
        <v>45895</v>
      </c>
      <c r="D189" t="inlineStr">
        <is>
          <t>ÖREBRO LÄN</t>
        </is>
      </c>
      <c r="E189" t="inlineStr">
        <is>
          <t>ASKERSUND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55733-2020</t>
        </is>
      </c>
      <c r="B190" s="1" t="n">
        <v>44132</v>
      </c>
      <c r="C190" s="1" t="n">
        <v>45895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12289-2022</t>
        </is>
      </c>
      <c r="B191" s="1" t="n">
        <v>44637</v>
      </c>
      <c r="C191" s="1" t="n">
        <v>45895</v>
      </c>
      <c r="D191" t="inlineStr">
        <is>
          <t>ÖREBRO LÄN</t>
        </is>
      </c>
      <c r="E191" t="inlineStr">
        <is>
          <t>ASKERSUND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12290-2022</t>
        </is>
      </c>
      <c r="B192" s="1" t="n">
        <v>44637</v>
      </c>
      <c r="C192" s="1" t="n">
        <v>45895</v>
      </c>
      <c r="D192" t="inlineStr">
        <is>
          <t>ÖREBRO LÄN</t>
        </is>
      </c>
      <c r="E192" t="inlineStr">
        <is>
          <t>ASKERSUND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6065-2021</t>
        </is>
      </c>
      <c r="B193" s="1" t="n">
        <v>44232</v>
      </c>
      <c r="C193" s="1" t="n">
        <v>45895</v>
      </c>
      <c r="D193" t="inlineStr">
        <is>
          <t>ÖREBRO LÄN</t>
        </is>
      </c>
      <c r="E193" t="inlineStr">
        <is>
          <t>ASKERSUND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32321-2022</t>
        </is>
      </c>
      <c r="B194" s="1" t="n">
        <v>44781</v>
      </c>
      <c r="C194" s="1" t="n">
        <v>45895</v>
      </c>
      <c r="D194" t="inlineStr">
        <is>
          <t>ÖREBRO LÄN</t>
        </is>
      </c>
      <c r="E194" t="inlineStr">
        <is>
          <t>ASKERSUND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64938-2020</t>
        </is>
      </c>
      <c r="B195" s="1" t="n">
        <v>44172</v>
      </c>
      <c r="C195" s="1" t="n">
        <v>45895</v>
      </c>
      <c r="D195" t="inlineStr">
        <is>
          <t>ÖREBRO LÄN</t>
        </is>
      </c>
      <c r="E195" t="inlineStr">
        <is>
          <t>ASKERSUND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63939-2021</t>
        </is>
      </c>
      <c r="B196" s="1" t="n">
        <v>44509.74381944445</v>
      </c>
      <c r="C196" s="1" t="n">
        <v>45895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39605-2021</t>
        </is>
      </c>
      <c r="B197" s="1" t="n">
        <v>44413</v>
      </c>
      <c r="C197" s="1" t="n">
        <v>45895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31717-2022</t>
        </is>
      </c>
      <c r="B198" s="1" t="n">
        <v>44776.45553240741</v>
      </c>
      <c r="C198" s="1" t="n">
        <v>45895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48352-2020</t>
        </is>
      </c>
      <c r="B199" s="1" t="n">
        <v>44102</v>
      </c>
      <c r="C199" s="1" t="n">
        <v>45895</v>
      </c>
      <c r="D199" t="inlineStr">
        <is>
          <t>ÖREBRO LÄN</t>
        </is>
      </c>
      <c r="E199" t="inlineStr">
        <is>
          <t>ASKERSUND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23720-2021</t>
        </is>
      </c>
      <c r="B200" s="1" t="n">
        <v>44334.75537037037</v>
      </c>
      <c r="C200" s="1" t="n">
        <v>45895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58541-2020</t>
        </is>
      </c>
      <c r="B201" s="1" t="n">
        <v>44145</v>
      </c>
      <c r="C201" s="1" t="n">
        <v>45895</v>
      </c>
      <c r="D201" t="inlineStr">
        <is>
          <t>ÖREBRO LÄN</t>
        </is>
      </c>
      <c r="E201" t="inlineStr">
        <is>
          <t>ASKERSUND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42495-2022</t>
        </is>
      </c>
      <c r="B202" s="1" t="n">
        <v>44831</v>
      </c>
      <c r="C202" s="1" t="n">
        <v>45895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52222-2021</t>
        </is>
      </c>
      <c r="B203" s="1" t="n">
        <v>44463.58862268519</v>
      </c>
      <c r="C203" s="1" t="n">
        <v>45895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52938-2021</t>
        </is>
      </c>
      <c r="B204" s="1" t="n">
        <v>44467.58364583334</v>
      </c>
      <c r="C204" s="1" t="n">
        <v>45895</v>
      </c>
      <c r="D204" t="inlineStr">
        <is>
          <t>ÖREBRO LÄN</t>
        </is>
      </c>
      <c r="E204" t="inlineStr">
        <is>
          <t>ASKERSUND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22116-2021</t>
        </is>
      </c>
      <c r="B205" s="1" t="n">
        <v>44323.73480324074</v>
      </c>
      <c r="C205" s="1" t="n">
        <v>45895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65716-2020</t>
        </is>
      </c>
      <c r="B206" s="1" t="n">
        <v>44174</v>
      </c>
      <c r="C206" s="1" t="n">
        <v>45895</v>
      </c>
      <c r="D206" t="inlineStr">
        <is>
          <t>ÖREBRO LÄN</t>
        </is>
      </c>
      <c r="E206" t="inlineStr">
        <is>
          <t>ASKERSUND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36504-2021</t>
        </is>
      </c>
      <c r="B207" s="1" t="n">
        <v>44391</v>
      </c>
      <c r="C207" s="1" t="n">
        <v>45895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62832-2021</t>
        </is>
      </c>
      <c r="B208" s="1" t="n">
        <v>44503</v>
      </c>
      <c r="C208" s="1" t="n">
        <v>45895</v>
      </c>
      <c r="D208" t="inlineStr">
        <is>
          <t>ÖREBRO LÄN</t>
        </is>
      </c>
      <c r="E208" t="inlineStr">
        <is>
          <t>ASKERSUND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5504-2022</t>
        </is>
      </c>
      <c r="B209" s="1" t="n">
        <v>44595</v>
      </c>
      <c r="C209" s="1" t="n">
        <v>45895</v>
      </c>
      <c r="D209" t="inlineStr">
        <is>
          <t>ÖREBRO LÄN</t>
        </is>
      </c>
      <c r="E209" t="inlineStr">
        <is>
          <t>ASKERSUND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68977-2021</t>
        </is>
      </c>
      <c r="B210" s="1" t="n">
        <v>44530.56172453704</v>
      </c>
      <c r="C210" s="1" t="n">
        <v>45895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43421-2021</t>
        </is>
      </c>
      <c r="B211" s="1" t="n">
        <v>44432.64310185185</v>
      </c>
      <c r="C211" s="1" t="n">
        <v>45895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12292-2022</t>
        </is>
      </c>
      <c r="B212" s="1" t="n">
        <v>44637</v>
      </c>
      <c r="C212" s="1" t="n">
        <v>45895</v>
      </c>
      <c r="D212" t="inlineStr">
        <is>
          <t>ÖREBRO LÄN</t>
        </is>
      </c>
      <c r="E212" t="inlineStr">
        <is>
          <t>ASKERSUND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25858-2022</t>
        </is>
      </c>
      <c r="B213" s="1" t="n">
        <v>44733.62664351852</v>
      </c>
      <c r="C213" s="1" t="n">
        <v>45895</v>
      </c>
      <c r="D213" t="inlineStr">
        <is>
          <t>ÖREBRO LÄN</t>
        </is>
      </c>
      <c r="E213" t="inlineStr">
        <is>
          <t>ASKERSUND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64778-2021</t>
        </is>
      </c>
      <c r="B214" s="1" t="n">
        <v>44512</v>
      </c>
      <c r="C214" s="1" t="n">
        <v>45895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60961-2021</t>
        </is>
      </c>
      <c r="B215" s="1" t="n">
        <v>44497</v>
      </c>
      <c r="C215" s="1" t="n">
        <v>45895</v>
      </c>
      <c r="D215" t="inlineStr">
        <is>
          <t>ÖREBRO LÄN</t>
        </is>
      </c>
      <c r="E215" t="inlineStr">
        <is>
          <t>ASKERSUND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12465-2022</t>
        </is>
      </c>
      <c r="B216" s="1" t="n">
        <v>44638</v>
      </c>
      <c r="C216" s="1" t="n">
        <v>45895</v>
      </c>
      <c r="D216" t="inlineStr">
        <is>
          <t>ÖREBRO LÄN</t>
        </is>
      </c>
      <c r="E216" t="inlineStr">
        <is>
          <t>ASKERSUND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61570-2021</t>
        </is>
      </c>
      <c r="B217" s="1" t="n">
        <v>44501.44331018518</v>
      </c>
      <c r="C217" s="1" t="n">
        <v>45895</v>
      </c>
      <c r="D217" t="inlineStr">
        <is>
          <t>ÖREBRO LÄN</t>
        </is>
      </c>
      <c r="E217" t="inlineStr">
        <is>
          <t>ASKERSUND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57906-2021</t>
        </is>
      </c>
      <c r="B218" s="1" t="n">
        <v>44486</v>
      </c>
      <c r="C218" s="1" t="n">
        <v>45895</v>
      </c>
      <c r="D218" t="inlineStr">
        <is>
          <t>ÖREBRO LÄN</t>
        </is>
      </c>
      <c r="E218" t="inlineStr">
        <is>
          <t>ASKERSUND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25963-2022</t>
        </is>
      </c>
      <c r="B219" s="1" t="n">
        <v>44734</v>
      </c>
      <c r="C219" s="1" t="n">
        <v>45895</v>
      </c>
      <c r="D219" t="inlineStr">
        <is>
          <t>ÖREBRO LÄN</t>
        </is>
      </c>
      <c r="E219" t="inlineStr">
        <is>
          <t>ASKERSUND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41264-2023</t>
        </is>
      </c>
      <c r="B220" s="1" t="n">
        <v>45170</v>
      </c>
      <c r="C220" s="1" t="n">
        <v>45895</v>
      </c>
      <c r="D220" t="inlineStr">
        <is>
          <t>ÖREBRO LÄN</t>
        </is>
      </c>
      <c r="E220" t="inlineStr">
        <is>
          <t>ASKERSUND</t>
        </is>
      </c>
      <c r="F220" t="inlineStr">
        <is>
          <t>Övriga Aktiebolag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64929-2020</t>
        </is>
      </c>
      <c r="B221" s="1" t="n">
        <v>44172</v>
      </c>
      <c r="C221" s="1" t="n">
        <v>45895</v>
      </c>
      <c r="D221" t="inlineStr">
        <is>
          <t>ÖREBRO LÄN</t>
        </is>
      </c>
      <c r="E221" t="inlineStr">
        <is>
          <t>ASKERSUND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43933-2024</t>
        </is>
      </c>
      <c r="B222" s="1" t="n">
        <v>45572.45697916667</v>
      </c>
      <c r="C222" s="1" t="n">
        <v>45895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41249-2021</t>
        </is>
      </c>
      <c r="B223" s="1" t="n">
        <v>44424</v>
      </c>
      <c r="C223" s="1" t="n">
        <v>45895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34139-2022</t>
        </is>
      </c>
      <c r="B224" s="1" t="n">
        <v>44791</v>
      </c>
      <c r="C224" s="1" t="n">
        <v>45895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51205-2021</t>
        </is>
      </c>
      <c r="B225" s="1" t="n">
        <v>44461.49383101852</v>
      </c>
      <c r="C225" s="1" t="n">
        <v>45895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42198-2021</t>
        </is>
      </c>
      <c r="B226" s="1" t="n">
        <v>44426</v>
      </c>
      <c r="C226" s="1" t="n">
        <v>45895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49541-2023</t>
        </is>
      </c>
      <c r="B227" s="1" t="n">
        <v>45211</v>
      </c>
      <c r="C227" s="1" t="n">
        <v>45895</v>
      </c>
      <c r="D227" t="inlineStr">
        <is>
          <t>ÖREBRO LÄN</t>
        </is>
      </c>
      <c r="E227" t="inlineStr">
        <is>
          <t>ASKERSUND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48612-2023</t>
        </is>
      </c>
      <c r="B228" s="1" t="n">
        <v>45208.54440972222</v>
      </c>
      <c r="C228" s="1" t="n">
        <v>45895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31506-2023</t>
        </is>
      </c>
      <c r="B229" s="1" t="n">
        <v>45115</v>
      </c>
      <c r="C229" s="1" t="n">
        <v>45895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31509-2023</t>
        </is>
      </c>
      <c r="B230" s="1" t="n">
        <v>45115</v>
      </c>
      <c r="C230" s="1" t="n">
        <v>45895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7730-2022</t>
        </is>
      </c>
      <c r="B231" s="1" t="n">
        <v>44608</v>
      </c>
      <c r="C231" s="1" t="n">
        <v>45895</v>
      </c>
      <c r="D231" t="inlineStr">
        <is>
          <t>ÖREBRO LÄN</t>
        </is>
      </c>
      <c r="E231" t="inlineStr">
        <is>
          <t>ASKERSUND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7077-2024</t>
        </is>
      </c>
      <c r="B232" s="1" t="n">
        <v>45343</v>
      </c>
      <c r="C232" s="1" t="n">
        <v>45895</v>
      </c>
      <c r="D232" t="inlineStr">
        <is>
          <t>ÖREBRO LÄN</t>
        </is>
      </c>
      <c r="E232" t="inlineStr">
        <is>
          <t>ASKERSUND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26662-2022</t>
        </is>
      </c>
      <c r="B233" s="1" t="n">
        <v>44739.6334375</v>
      </c>
      <c r="C233" s="1" t="n">
        <v>45895</v>
      </c>
      <c r="D233" t="inlineStr">
        <is>
          <t>ÖREBRO LÄN</t>
        </is>
      </c>
      <c r="E233" t="inlineStr">
        <is>
          <t>ASKERSUND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62584-2021</t>
        </is>
      </c>
      <c r="B234" s="1" t="n">
        <v>44503.65924768519</v>
      </c>
      <c r="C234" s="1" t="n">
        <v>45895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55591-2023</t>
        </is>
      </c>
      <c r="B235" s="1" t="n">
        <v>45238</v>
      </c>
      <c r="C235" s="1" t="n">
        <v>45895</v>
      </c>
      <c r="D235" t="inlineStr">
        <is>
          <t>ÖREBRO LÄN</t>
        </is>
      </c>
      <c r="E235" t="inlineStr">
        <is>
          <t>ASKERSUND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46630-2021</t>
        </is>
      </c>
      <c r="B236" s="1" t="n">
        <v>44445</v>
      </c>
      <c r="C236" s="1" t="n">
        <v>45895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50857-2022</t>
        </is>
      </c>
      <c r="B237" s="1" t="n">
        <v>44864</v>
      </c>
      <c r="C237" s="1" t="n">
        <v>45895</v>
      </c>
      <c r="D237" t="inlineStr">
        <is>
          <t>ÖREBRO LÄN</t>
        </is>
      </c>
      <c r="E237" t="inlineStr">
        <is>
          <t>ASKERSUND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18409-2023</t>
        </is>
      </c>
      <c r="B238" s="1" t="n">
        <v>45042.4005787037</v>
      </c>
      <c r="C238" s="1" t="n">
        <v>45895</v>
      </c>
      <c r="D238" t="inlineStr">
        <is>
          <t>ÖREBRO LÄN</t>
        </is>
      </c>
      <c r="E238" t="inlineStr">
        <is>
          <t>ASKERSUND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59530-2023</t>
        </is>
      </c>
      <c r="B239" s="1" t="n">
        <v>45254.51172453703</v>
      </c>
      <c r="C239" s="1" t="n">
        <v>45895</v>
      </c>
      <c r="D239" t="inlineStr">
        <is>
          <t>ÖREBRO LÄN</t>
        </is>
      </c>
      <c r="E239" t="inlineStr">
        <is>
          <t>ASKERSUND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62118-2024</t>
        </is>
      </c>
      <c r="B240" s="1" t="n">
        <v>45656</v>
      </c>
      <c r="C240" s="1" t="n">
        <v>45895</v>
      </c>
      <c r="D240" t="inlineStr">
        <is>
          <t>ÖREBRO LÄN</t>
        </is>
      </c>
      <c r="E240" t="inlineStr">
        <is>
          <t>ASKERSUND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41094-2021</t>
        </is>
      </c>
      <c r="B241" s="1" t="n">
        <v>44422</v>
      </c>
      <c r="C241" s="1" t="n">
        <v>45895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59560-2022</t>
        </is>
      </c>
      <c r="B242" s="1" t="n">
        <v>44907.60194444445</v>
      </c>
      <c r="C242" s="1" t="n">
        <v>45895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6900-2023</t>
        </is>
      </c>
      <c r="B243" s="1" t="n">
        <v>44967.5105787037</v>
      </c>
      <c r="C243" s="1" t="n">
        <v>45895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59349-2023</t>
        </is>
      </c>
      <c r="B244" s="1" t="n">
        <v>45253.65600694445</v>
      </c>
      <c r="C244" s="1" t="n">
        <v>45895</v>
      </c>
      <c r="D244" t="inlineStr">
        <is>
          <t>ÖREBRO LÄN</t>
        </is>
      </c>
      <c r="E244" t="inlineStr">
        <is>
          <t>ASKERSUND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14503-2025</t>
        </is>
      </c>
      <c r="B245" s="1" t="n">
        <v>45741.62474537037</v>
      </c>
      <c r="C245" s="1" t="n">
        <v>45895</v>
      </c>
      <c r="D245" t="inlineStr">
        <is>
          <t>ÖREBRO LÄN</t>
        </is>
      </c>
      <c r="E245" t="inlineStr">
        <is>
          <t>ASKERSUND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59587-2023</t>
        </is>
      </c>
      <c r="B246" s="1" t="n">
        <v>45254</v>
      </c>
      <c r="C246" s="1" t="n">
        <v>45895</v>
      </c>
      <c r="D246" t="inlineStr">
        <is>
          <t>ÖREBRO LÄN</t>
        </is>
      </c>
      <c r="E246" t="inlineStr">
        <is>
          <t>ASKERSUND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52434-2024</t>
        </is>
      </c>
      <c r="B247" s="1" t="n">
        <v>45609.47806712963</v>
      </c>
      <c r="C247" s="1" t="n">
        <v>45895</v>
      </c>
      <c r="D247" t="inlineStr">
        <is>
          <t>ÖREBRO LÄN</t>
        </is>
      </c>
      <c r="E247" t="inlineStr">
        <is>
          <t>ASKERSUND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58143-2021</t>
        </is>
      </c>
      <c r="B248" s="1" t="n">
        <v>44487</v>
      </c>
      <c r="C248" s="1" t="n">
        <v>45895</v>
      </c>
      <c r="D248" t="inlineStr">
        <is>
          <t>ÖREBRO LÄN</t>
        </is>
      </c>
      <c r="E248" t="inlineStr">
        <is>
          <t>ASKERSUND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3883-2024</t>
        </is>
      </c>
      <c r="B249" s="1" t="n">
        <v>45322</v>
      </c>
      <c r="C249" s="1" t="n">
        <v>45895</v>
      </c>
      <c r="D249" t="inlineStr">
        <is>
          <t>ÖREBRO LÄN</t>
        </is>
      </c>
      <c r="E249" t="inlineStr">
        <is>
          <t>ASKERSUND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34512-2024</t>
        </is>
      </c>
      <c r="B250" s="1" t="n">
        <v>45525</v>
      </c>
      <c r="C250" s="1" t="n">
        <v>45895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34514-2024</t>
        </is>
      </c>
      <c r="B251" s="1" t="n">
        <v>45525</v>
      </c>
      <c r="C251" s="1" t="n">
        <v>45895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11635-2024</t>
        </is>
      </c>
      <c r="B252" s="1" t="n">
        <v>45373</v>
      </c>
      <c r="C252" s="1" t="n">
        <v>45895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13893-2024</t>
        </is>
      </c>
      <c r="B253" s="1" t="n">
        <v>45391.63415509259</v>
      </c>
      <c r="C253" s="1" t="n">
        <v>45895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28955-2023</t>
        </is>
      </c>
      <c r="B254" s="1" t="n">
        <v>45104</v>
      </c>
      <c r="C254" s="1" t="n">
        <v>45895</v>
      </c>
      <c r="D254" t="inlineStr">
        <is>
          <t>ÖREBRO LÄN</t>
        </is>
      </c>
      <c r="E254" t="inlineStr">
        <is>
          <t>ASKERSUND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12421-2023</t>
        </is>
      </c>
      <c r="B255" s="1" t="n">
        <v>44999.52975694444</v>
      </c>
      <c r="C255" s="1" t="n">
        <v>45895</v>
      </c>
      <c r="D255" t="inlineStr">
        <is>
          <t>ÖREBRO LÄN</t>
        </is>
      </c>
      <c r="E255" t="inlineStr">
        <is>
          <t>ASKERSUND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23514-2024</t>
        </is>
      </c>
      <c r="B256" s="1" t="n">
        <v>45453.84284722222</v>
      </c>
      <c r="C256" s="1" t="n">
        <v>45895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37605-2022</t>
        </is>
      </c>
      <c r="B257" s="1" t="n">
        <v>44809</v>
      </c>
      <c r="C257" s="1" t="n">
        <v>45895</v>
      </c>
      <c r="D257" t="inlineStr">
        <is>
          <t>ÖREBRO LÄN</t>
        </is>
      </c>
      <c r="E257" t="inlineStr">
        <is>
          <t>ASKERSUND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74186-2021</t>
        </is>
      </c>
      <c r="B258" s="1" t="n">
        <v>44558</v>
      </c>
      <c r="C258" s="1" t="n">
        <v>45895</v>
      </c>
      <c r="D258" t="inlineStr">
        <is>
          <t>ÖREBRO LÄN</t>
        </is>
      </c>
      <c r="E258" t="inlineStr">
        <is>
          <t>ASKERSUND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23807-2023</t>
        </is>
      </c>
      <c r="B259" s="1" t="n">
        <v>45078</v>
      </c>
      <c r="C259" s="1" t="n">
        <v>45895</v>
      </c>
      <c r="D259" t="inlineStr">
        <is>
          <t>ÖREBRO LÄN</t>
        </is>
      </c>
      <c r="E259" t="inlineStr">
        <is>
          <t>ASKERSUND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21045-2025</t>
        </is>
      </c>
      <c r="B260" s="1" t="n">
        <v>45777.55422453704</v>
      </c>
      <c r="C260" s="1" t="n">
        <v>45895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5228-2023</t>
        </is>
      </c>
      <c r="B261" s="1" t="n">
        <v>44959</v>
      </c>
      <c r="C261" s="1" t="n">
        <v>45895</v>
      </c>
      <c r="D261" t="inlineStr">
        <is>
          <t>ÖREBRO LÄN</t>
        </is>
      </c>
      <c r="E261" t="inlineStr">
        <is>
          <t>ASKERSUND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16642-2023</t>
        </is>
      </c>
      <c r="B262" s="1" t="n">
        <v>45030</v>
      </c>
      <c r="C262" s="1" t="n">
        <v>45895</v>
      </c>
      <c r="D262" t="inlineStr">
        <is>
          <t>ÖREBRO LÄN</t>
        </is>
      </c>
      <c r="E262" t="inlineStr">
        <is>
          <t>ASKERSUND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21041-2025</t>
        </is>
      </c>
      <c r="B263" s="1" t="n">
        <v>45777.54607638889</v>
      </c>
      <c r="C263" s="1" t="n">
        <v>45895</v>
      </c>
      <c r="D263" t="inlineStr">
        <is>
          <t>ÖREBRO LÄN</t>
        </is>
      </c>
      <c r="E263" t="inlineStr">
        <is>
          <t>ASKERSUND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21048-2025</t>
        </is>
      </c>
      <c r="B264" s="1" t="n">
        <v>45777.55945601852</v>
      </c>
      <c r="C264" s="1" t="n">
        <v>45895</v>
      </c>
      <c r="D264" t="inlineStr">
        <is>
          <t>ÖREBRO LÄN</t>
        </is>
      </c>
      <c r="E264" t="inlineStr">
        <is>
          <t>ASKERSUND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56394-2024</t>
        </is>
      </c>
      <c r="B265" s="1" t="n">
        <v>45625.34609953704</v>
      </c>
      <c r="C265" s="1" t="n">
        <v>45895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23914-2024</t>
        </is>
      </c>
      <c r="B266" s="1" t="n">
        <v>45455.86207175926</v>
      </c>
      <c r="C266" s="1" t="n">
        <v>45895</v>
      </c>
      <c r="D266" t="inlineStr">
        <is>
          <t>ÖREBRO LÄN</t>
        </is>
      </c>
      <c r="E266" t="inlineStr">
        <is>
          <t>ASKERSUND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26412-2024</t>
        </is>
      </c>
      <c r="B267" s="1" t="n">
        <v>45469.45405092592</v>
      </c>
      <c r="C267" s="1" t="n">
        <v>45895</v>
      </c>
      <c r="D267" t="inlineStr">
        <is>
          <t>ÖREBRO LÄN</t>
        </is>
      </c>
      <c r="E267" t="inlineStr">
        <is>
          <t>ASKERSUND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5044-2022</t>
        </is>
      </c>
      <c r="B268" s="1" t="n">
        <v>44593</v>
      </c>
      <c r="C268" s="1" t="n">
        <v>45895</v>
      </c>
      <c r="D268" t="inlineStr">
        <is>
          <t>ÖREBRO LÄN</t>
        </is>
      </c>
      <c r="E268" t="inlineStr">
        <is>
          <t>ASKERSUND</t>
        </is>
      </c>
      <c r="F268" t="inlineStr">
        <is>
          <t>Allmännings- och besparingsskogar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12567-2023</t>
        </is>
      </c>
      <c r="B269" s="1" t="n">
        <v>45000</v>
      </c>
      <c r="C269" s="1" t="n">
        <v>45895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1341-2024</t>
        </is>
      </c>
      <c r="B270" s="1" t="n">
        <v>45303.44383101852</v>
      </c>
      <c r="C270" s="1" t="n">
        <v>45895</v>
      </c>
      <c r="D270" t="inlineStr">
        <is>
          <t>ÖREBRO LÄN</t>
        </is>
      </c>
      <c r="E270" t="inlineStr">
        <is>
          <t>ASKERSUND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60965-2021</t>
        </is>
      </c>
      <c r="B271" s="1" t="n">
        <v>44497</v>
      </c>
      <c r="C271" s="1" t="n">
        <v>45895</v>
      </c>
      <c r="D271" t="inlineStr">
        <is>
          <t>ÖREBRO LÄN</t>
        </is>
      </c>
      <c r="E271" t="inlineStr">
        <is>
          <t>ASKERSUND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52072-2024</t>
        </is>
      </c>
      <c r="B272" s="1" t="n">
        <v>45608</v>
      </c>
      <c r="C272" s="1" t="n">
        <v>45895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41073-2024</t>
        </is>
      </c>
      <c r="B273" s="1" t="n">
        <v>45559.39498842593</v>
      </c>
      <c r="C273" s="1" t="n">
        <v>45895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4779-2023</t>
        </is>
      </c>
      <c r="B274" s="1" t="n">
        <v>44957</v>
      </c>
      <c r="C274" s="1" t="n">
        <v>45895</v>
      </c>
      <c r="D274" t="inlineStr">
        <is>
          <t>ÖREBRO LÄN</t>
        </is>
      </c>
      <c r="E274" t="inlineStr">
        <is>
          <t>ASKERSUND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59865-2021</t>
        </is>
      </c>
      <c r="B275" s="1" t="n">
        <v>44494.59873842593</v>
      </c>
      <c r="C275" s="1" t="n">
        <v>45895</v>
      </c>
      <c r="D275" t="inlineStr">
        <is>
          <t>ÖREBRO LÄN</t>
        </is>
      </c>
      <c r="E275" t="inlineStr">
        <is>
          <t>ASKERSUND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1437-2024</t>
        </is>
      </c>
      <c r="B276" s="1" t="n">
        <v>45303</v>
      </c>
      <c r="C276" s="1" t="n">
        <v>45895</v>
      </c>
      <c r="D276" t="inlineStr">
        <is>
          <t>ÖREBRO LÄN</t>
        </is>
      </c>
      <c r="E276" t="inlineStr">
        <is>
          <t>ASKERSUND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29116-2024</t>
        </is>
      </c>
      <c r="B277" s="1" t="n">
        <v>45481.97215277778</v>
      </c>
      <c r="C277" s="1" t="n">
        <v>45895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29127-2024</t>
        </is>
      </c>
      <c r="B278" s="1" t="n">
        <v>45481</v>
      </c>
      <c r="C278" s="1" t="n">
        <v>45895</v>
      </c>
      <c r="D278" t="inlineStr">
        <is>
          <t>ÖREBRO LÄN</t>
        </is>
      </c>
      <c r="E278" t="inlineStr">
        <is>
          <t>ASKERSUND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50416-2024</t>
        </is>
      </c>
      <c r="B279" s="1" t="n">
        <v>45601.37609953704</v>
      </c>
      <c r="C279" s="1" t="n">
        <v>45895</v>
      </c>
      <c r="D279" t="inlineStr">
        <is>
          <t>ÖREBRO LÄN</t>
        </is>
      </c>
      <c r="E279" t="inlineStr">
        <is>
          <t>ASKERSUND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53019-2021</t>
        </is>
      </c>
      <c r="B280" s="1" t="n">
        <v>44467</v>
      </c>
      <c r="C280" s="1" t="n">
        <v>45895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32214-2024</t>
        </is>
      </c>
      <c r="B281" s="1" t="n">
        <v>45511</v>
      </c>
      <c r="C281" s="1" t="n">
        <v>45895</v>
      </c>
      <c r="D281" t="inlineStr">
        <is>
          <t>ÖREBRO LÄN</t>
        </is>
      </c>
      <c r="E281" t="inlineStr">
        <is>
          <t>ASKERSUND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62103-2024</t>
        </is>
      </c>
      <c r="B282" s="1" t="n">
        <v>45656</v>
      </c>
      <c r="C282" s="1" t="n">
        <v>45895</v>
      </c>
      <c r="D282" t="inlineStr">
        <is>
          <t>ÖREBRO LÄN</t>
        </is>
      </c>
      <c r="E282" t="inlineStr">
        <is>
          <t>ASKERSUND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36031-2024</t>
        </is>
      </c>
      <c r="B283" s="1" t="n">
        <v>45533.58539351852</v>
      </c>
      <c r="C283" s="1" t="n">
        <v>45895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30100-2024</t>
        </is>
      </c>
      <c r="B284" s="1" t="n">
        <v>45489.4169212963</v>
      </c>
      <c r="C284" s="1" t="n">
        <v>45895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26752-2024</t>
        </is>
      </c>
      <c r="B285" s="1" t="n">
        <v>45470.45872685185</v>
      </c>
      <c r="C285" s="1" t="n">
        <v>45895</v>
      </c>
      <c r="D285" t="inlineStr">
        <is>
          <t>ÖREBRO LÄN</t>
        </is>
      </c>
      <c r="E285" t="inlineStr">
        <is>
          <t>ASKERSUND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29522-2024</t>
        </is>
      </c>
      <c r="B286" s="1" t="n">
        <v>45484.44842592593</v>
      </c>
      <c r="C286" s="1" t="n">
        <v>45895</v>
      </c>
      <c r="D286" t="inlineStr">
        <is>
          <t>ÖREBRO LÄN</t>
        </is>
      </c>
      <c r="E286" t="inlineStr">
        <is>
          <t>ASKERSUND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44976-2021</t>
        </is>
      </c>
      <c r="B287" s="1" t="n">
        <v>44438</v>
      </c>
      <c r="C287" s="1" t="n">
        <v>45895</v>
      </c>
      <c r="D287" t="inlineStr">
        <is>
          <t>ÖREBRO LÄN</t>
        </is>
      </c>
      <c r="E287" t="inlineStr">
        <is>
          <t>ASKERSUND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41762-2021</t>
        </is>
      </c>
      <c r="B288" s="1" t="n">
        <v>44425.63494212963</v>
      </c>
      <c r="C288" s="1" t="n">
        <v>45895</v>
      </c>
      <c r="D288" t="inlineStr">
        <is>
          <t>ÖREBRO LÄN</t>
        </is>
      </c>
      <c r="E288" t="inlineStr">
        <is>
          <t>ASKERSUND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3675-2023</t>
        </is>
      </c>
      <c r="B289" s="1" t="n">
        <v>44950</v>
      </c>
      <c r="C289" s="1" t="n">
        <v>45895</v>
      </c>
      <c r="D289" t="inlineStr">
        <is>
          <t>ÖREBRO LÄN</t>
        </is>
      </c>
      <c r="E289" t="inlineStr">
        <is>
          <t>ASKERSUND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3680-2023</t>
        </is>
      </c>
      <c r="B290" s="1" t="n">
        <v>44950.90216435185</v>
      </c>
      <c r="C290" s="1" t="n">
        <v>45895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1412-2025</t>
        </is>
      </c>
      <c r="B291" s="1" t="n">
        <v>45667.99460648148</v>
      </c>
      <c r="C291" s="1" t="n">
        <v>45895</v>
      </c>
      <c r="D291" t="inlineStr">
        <is>
          <t>ÖREBRO LÄN</t>
        </is>
      </c>
      <c r="E291" t="inlineStr">
        <is>
          <t>ASKERSUND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48458-2021</t>
        </is>
      </c>
      <c r="B292" s="1" t="n">
        <v>44452</v>
      </c>
      <c r="C292" s="1" t="n">
        <v>45895</v>
      </c>
      <c r="D292" t="inlineStr">
        <is>
          <t>ÖREBRO LÄN</t>
        </is>
      </c>
      <c r="E292" t="inlineStr">
        <is>
          <t>ASKERSUND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31265-2024</t>
        </is>
      </c>
      <c r="B293" s="1" t="n">
        <v>45503.97861111111</v>
      </c>
      <c r="C293" s="1" t="n">
        <v>45895</v>
      </c>
      <c r="D293" t="inlineStr">
        <is>
          <t>ÖREBRO LÄN</t>
        </is>
      </c>
      <c r="E293" t="inlineStr">
        <is>
          <t>ASKERSUND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16292-2024</t>
        </is>
      </c>
      <c r="B294" s="1" t="n">
        <v>45407</v>
      </c>
      <c r="C294" s="1" t="n">
        <v>45895</v>
      </c>
      <c r="D294" t="inlineStr">
        <is>
          <t>ÖREBRO LÄN</t>
        </is>
      </c>
      <c r="E294" t="inlineStr">
        <is>
          <t>ASKERSUND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43830-2024</t>
        </is>
      </c>
      <c r="B295" s="1" t="n">
        <v>45572.31850694444</v>
      </c>
      <c r="C295" s="1" t="n">
        <v>45895</v>
      </c>
      <c r="D295" t="inlineStr">
        <is>
          <t>ÖREBRO LÄN</t>
        </is>
      </c>
      <c r="E295" t="inlineStr">
        <is>
          <t>ASKERSUND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50578-2022</t>
        </is>
      </c>
      <c r="B296" s="1" t="n">
        <v>44866.65612268518</v>
      </c>
      <c r="C296" s="1" t="n">
        <v>45895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11492-2023</t>
        </is>
      </c>
      <c r="B297" s="1" t="n">
        <v>44993</v>
      </c>
      <c r="C297" s="1" t="n">
        <v>45895</v>
      </c>
      <c r="D297" t="inlineStr">
        <is>
          <t>ÖREBRO LÄN</t>
        </is>
      </c>
      <c r="E297" t="inlineStr">
        <is>
          <t>ASKERSUND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44764-2023</t>
        </is>
      </c>
      <c r="B298" s="1" t="n">
        <v>45190.43935185186</v>
      </c>
      <c r="C298" s="1" t="n">
        <v>45895</v>
      </c>
      <c r="D298" t="inlineStr">
        <is>
          <t>ÖREBRO LÄN</t>
        </is>
      </c>
      <c r="E298" t="inlineStr">
        <is>
          <t>ASKERSUND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38556-2024</t>
        </is>
      </c>
      <c r="B299" s="1" t="n">
        <v>45546.61826388889</v>
      </c>
      <c r="C299" s="1" t="n">
        <v>45895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20515-2025</t>
        </is>
      </c>
      <c r="B300" s="1" t="n">
        <v>45775</v>
      </c>
      <c r="C300" s="1" t="n">
        <v>45895</v>
      </c>
      <c r="D300" t="inlineStr">
        <is>
          <t>ÖREBRO LÄN</t>
        </is>
      </c>
      <c r="E300" t="inlineStr">
        <is>
          <t>ASKERSUND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7704-2022</t>
        </is>
      </c>
      <c r="B301" s="1" t="n">
        <v>44608</v>
      </c>
      <c r="C301" s="1" t="n">
        <v>45895</v>
      </c>
      <c r="D301" t="inlineStr">
        <is>
          <t>ÖREBRO LÄN</t>
        </is>
      </c>
      <c r="E301" t="inlineStr">
        <is>
          <t>ASKERSUND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7713-2022</t>
        </is>
      </c>
      <c r="B302" s="1" t="n">
        <v>44608.32383101852</v>
      </c>
      <c r="C302" s="1" t="n">
        <v>45895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6821-2023</t>
        </is>
      </c>
      <c r="B303" s="1" t="n">
        <v>44967.39028935185</v>
      </c>
      <c r="C303" s="1" t="n">
        <v>45895</v>
      </c>
      <c r="D303" t="inlineStr">
        <is>
          <t>ÖREBRO LÄN</t>
        </is>
      </c>
      <c r="E303" t="inlineStr">
        <is>
          <t>ASKERSUND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4467-2024</t>
        </is>
      </c>
      <c r="B304" s="1" t="n">
        <v>45327</v>
      </c>
      <c r="C304" s="1" t="n">
        <v>45895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22999-2025</t>
        </is>
      </c>
      <c r="B305" s="1" t="n">
        <v>45790.58875</v>
      </c>
      <c r="C305" s="1" t="n">
        <v>45895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43578-2024</t>
        </is>
      </c>
      <c r="B306" s="1" t="n">
        <v>45569.41788194444</v>
      </c>
      <c r="C306" s="1" t="n">
        <v>45895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38626-2023</t>
        </is>
      </c>
      <c r="B307" s="1" t="n">
        <v>45162</v>
      </c>
      <c r="C307" s="1" t="n">
        <v>45895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60357-2023</t>
        </is>
      </c>
      <c r="B308" s="1" t="n">
        <v>45258</v>
      </c>
      <c r="C308" s="1" t="n">
        <v>45895</v>
      </c>
      <c r="D308" t="inlineStr">
        <is>
          <t>ÖREBRO LÄN</t>
        </is>
      </c>
      <c r="E308" t="inlineStr">
        <is>
          <t>ASKERSUND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2282-2022</t>
        </is>
      </c>
      <c r="B309" s="1" t="n">
        <v>44578</v>
      </c>
      <c r="C309" s="1" t="n">
        <v>45895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52522-2022</t>
        </is>
      </c>
      <c r="B310" s="1" t="n">
        <v>44874</v>
      </c>
      <c r="C310" s="1" t="n">
        <v>45895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30102-2024</t>
        </is>
      </c>
      <c r="B311" s="1" t="n">
        <v>45489.41846064815</v>
      </c>
      <c r="C311" s="1" t="n">
        <v>45895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52518-2022</t>
        </is>
      </c>
      <c r="B312" s="1" t="n">
        <v>44874</v>
      </c>
      <c r="C312" s="1" t="n">
        <v>45895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54649-2023</t>
        </is>
      </c>
      <c r="B313" s="1" t="n">
        <v>45235</v>
      </c>
      <c r="C313" s="1" t="n">
        <v>45895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18981-2024</t>
        </is>
      </c>
      <c r="B314" s="1" t="n">
        <v>45427.58246527778</v>
      </c>
      <c r="C314" s="1" t="n">
        <v>45895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47202-2024</t>
        </is>
      </c>
      <c r="B315" s="1" t="n">
        <v>45586.63421296296</v>
      </c>
      <c r="C315" s="1" t="n">
        <v>45895</v>
      </c>
      <c r="D315" t="inlineStr">
        <is>
          <t>ÖREBRO LÄN</t>
        </is>
      </c>
      <c r="E315" t="inlineStr">
        <is>
          <t>ASKERSUND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28819-2023</t>
        </is>
      </c>
      <c r="B316" s="1" t="n">
        <v>45104.38340277778</v>
      </c>
      <c r="C316" s="1" t="n">
        <v>45895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23233-2025</t>
        </is>
      </c>
      <c r="B317" s="1" t="n">
        <v>45791</v>
      </c>
      <c r="C317" s="1" t="n">
        <v>45895</v>
      </c>
      <c r="D317" t="inlineStr">
        <is>
          <t>ÖREBRO LÄN</t>
        </is>
      </c>
      <c r="E317" t="inlineStr">
        <is>
          <t>ASKERSUND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6828-2022</t>
        </is>
      </c>
      <c r="B318" s="1" t="n">
        <v>44602.59796296297</v>
      </c>
      <c r="C318" s="1" t="n">
        <v>45895</v>
      </c>
      <c r="D318" t="inlineStr">
        <is>
          <t>ÖREBRO LÄN</t>
        </is>
      </c>
      <c r="E318" t="inlineStr">
        <is>
          <t>ASKERSUND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54393-2024</t>
        </is>
      </c>
      <c r="B319" s="1" t="n">
        <v>45617.45731481481</v>
      </c>
      <c r="C319" s="1" t="n">
        <v>45895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29131-2024</t>
        </is>
      </c>
      <c r="B320" s="1" t="n">
        <v>45481</v>
      </c>
      <c r="C320" s="1" t="n">
        <v>45895</v>
      </c>
      <c r="D320" t="inlineStr">
        <is>
          <t>ÖREBRO LÄN</t>
        </is>
      </c>
      <c r="E320" t="inlineStr">
        <is>
          <t>ASKERSUND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15625-2022</t>
        </is>
      </c>
      <c r="B321" s="1" t="n">
        <v>44662.70594907407</v>
      </c>
      <c r="C321" s="1" t="n">
        <v>45895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46619-2023</t>
        </is>
      </c>
      <c r="B322" s="1" t="n">
        <v>45198</v>
      </c>
      <c r="C322" s="1" t="n">
        <v>45895</v>
      </c>
      <c r="D322" t="inlineStr">
        <is>
          <t>ÖREBRO LÄN</t>
        </is>
      </c>
      <c r="E322" t="inlineStr">
        <is>
          <t>ASKERSUND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12418-2023</t>
        </is>
      </c>
      <c r="B323" s="1" t="n">
        <v>44999.52805555556</v>
      </c>
      <c r="C323" s="1" t="n">
        <v>45895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12423-2023</t>
        </is>
      </c>
      <c r="B324" s="1" t="n">
        <v>44999.53216435185</v>
      </c>
      <c r="C324" s="1" t="n">
        <v>45895</v>
      </c>
      <c r="D324" t="inlineStr">
        <is>
          <t>ÖREBRO LÄN</t>
        </is>
      </c>
      <c r="E324" t="inlineStr">
        <is>
          <t>ASKERSUND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10432-2025</t>
        </is>
      </c>
      <c r="B325" s="1" t="n">
        <v>45720</v>
      </c>
      <c r="C325" s="1" t="n">
        <v>45895</v>
      </c>
      <c r="D325" t="inlineStr">
        <is>
          <t>ÖREBRO LÄN</t>
        </is>
      </c>
      <c r="E325" t="inlineStr">
        <is>
          <t>ASKERSUND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47239-2020</t>
        </is>
      </c>
      <c r="B326" s="1" t="n">
        <v>44097</v>
      </c>
      <c r="C326" s="1" t="n">
        <v>45895</v>
      </c>
      <c r="D326" t="inlineStr">
        <is>
          <t>ÖREBRO LÄN</t>
        </is>
      </c>
      <c r="E326" t="inlineStr">
        <is>
          <t>ASKERSUND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48884-2022</t>
        </is>
      </c>
      <c r="B327" s="1" t="n">
        <v>44859.89707175926</v>
      </c>
      <c r="C327" s="1" t="n">
        <v>45895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60557-2020</t>
        </is>
      </c>
      <c r="B328" s="1" t="n">
        <v>44153</v>
      </c>
      <c r="C328" s="1" t="n">
        <v>45895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61189-2022</t>
        </is>
      </c>
      <c r="B329" s="1" t="n">
        <v>44915.51126157407</v>
      </c>
      <c r="C329" s="1" t="n">
        <v>45895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19997-2022</t>
        </is>
      </c>
      <c r="B330" s="1" t="n">
        <v>44697</v>
      </c>
      <c r="C330" s="1" t="n">
        <v>45895</v>
      </c>
      <c r="D330" t="inlineStr">
        <is>
          <t>ÖREBRO LÄN</t>
        </is>
      </c>
      <c r="E330" t="inlineStr">
        <is>
          <t>ASKERSUND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7371-2022</t>
        </is>
      </c>
      <c r="B331" s="1" t="n">
        <v>44606.59517361111</v>
      </c>
      <c r="C331" s="1" t="n">
        <v>45895</v>
      </c>
      <c r="D331" t="inlineStr">
        <is>
          <t>ÖREBRO LÄN</t>
        </is>
      </c>
      <c r="E331" t="inlineStr">
        <is>
          <t>ASKERSUND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12895-2022</t>
        </is>
      </c>
      <c r="B332" s="1" t="n">
        <v>44642</v>
      </c>
      <c r="C332" s="1" t="n">
        <v>45895</v>
      </c>
      <c r="D332" t="inlineStr">
        <is>
          <t>ÖREBRO LÄN</t>
        </is>
      </c>
      <c r="E332" t="inlineStr">
        <is>
          <t>ASKERSUND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12735-2022</t>
        </is>
      </c>
      <c r="B333" s="1" t="n">
        <v>44641</v>
      </c>
      <c r="C333" s="1" t="n">
        <v>45895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56386-2024</t>
        </is>
      </c>
      <c r="B334" s="1" t="n">
        <v>45625.34328703704</v>
      </c>
      <c r="C334" s="1" t="n">
        <v>45895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3457-2025</t>
        </is>
      </c>
      <c r="B335" s="1" t="n">
        <v>45680</v>
      </c>
      <c r="C335" s="1" t="n">
        <v>45895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73579-2021</t>
        </is>
      </c>
      <c r="B336" s="1" t="n">
        <v>44552.34407407408</v>
      </c>
      <c r="C336" s="1" t="n">
        <v>45895</v>
      </c>
      <c r="D336" t="inlineStr">
        <is>
          <t>ÖREBRO LÄN</t>
        </is>
      </c>
      <c r="E336" t="inlineStr">
        <is>
          <t>ASKERSUND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53185-2020</t>
        </is>
      </c>
      <c r="B337" s="1" t="n">
        <v>44120</v>
      </c>
      <c r="C337" s="1" t="n">
        <v>45895</v>
      </c>
      <c r="D337" t="inlineStr">
        <is>
          <t>ÖREBRO LÄN</t>
        </is>
      </c>
      <c r="E337" t="inlineStr">
        <is>
          <t>ASKERSUND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59874-2020</t>
        </is>
      </c>
      <c r="B338" s="1" t="n">
        <v>44151</v>
      </c>
      <c r="C338" s="1" t="n">
        <v>45895</v>
      </c>
      <c r="D338" t="inlineStr">
        <is>
          <t>ÖREBRO LÄN</t>
        </is>
      </c>
      <c r="E338" t="inlineStr">
        <is>
          <t>ASKERSUND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1332-2024</t>
        </is>
      </c>
      <c r="B339" s="1" t="n">
        <v>45303</v>
      </c>
      <c r="C339" s="1" t="n">
        <v>45895</v>
      </c>
      <c r="D339" t="inlineStr">
        <is>
          <t>ÖREBRO LÄN</t>
        </is>
      </c>
      <c r="E339" t="inlineStr">
        <is>
          <t>ASKERSUND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50599-2023</t>
        </is>
      </c>
      <c r="B340" s="1" t="n">
        <v>45217.42408564815</v>
      </c>
      <c r="C340" s="1" t="n">
        <v>45895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11969-2023</t>
        </is>
      </c>
      <c r="B341" s="1" t="n">
        <v>44995.5728125</v>
      </c>
      <c r="C341" s="1" t="n">
        <v>45895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41540-2024</t>
        </is>
      </c>
      <c r="B342" s="1" t="n">
        <v>45560.50434027778</v>
      </c>
      <c r="C342" s="1" t="n">
        <v>45895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22802-2023</t>
        </is>
      </c>
      <c r="B343" s="1" t="n">
        <v>45072</v>
      </c>
      <c r="C343" s="1" t="n">
        <v>45895</v>
      </c>
      <c r="D343" t="inlineStr">
        <is>
          <t>ÖREBRO LÄN</t>
        </is>
      </c>
      <c r="E343" t="inlineStr">
        <is>
          <t>ASKERSUND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22804-2023</t>
        </is>
      </c>
      <c r="B344" s="1" t="n">
        <v>45072.39223379629</v>
      </c>
      <c r="C344" s="1" t="n">
        <v>45895</v>
      </c>
      <c r="D344" t="inlineStr">
        <is>
          <t>ÖREBRO LÄN</t>
        </is>
      </c>
      <c r="E344" t="inlineStr">
        <is>
          <t>ASKERSUND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7544-2024</t>
        </is>
      </c>
      <c r="B345" s="1" t="n">
        <v>45348</v>
      </c>
      <c r="C345" s="1" t="n">
        <v>45895</v>
      </c>
      <c r="D345" t="inlineStr">
        <is>
          <t>ÖREBRO LÄN</t>
        </is>
      </c>
      <c r="E345" t="inlineStr">
        <is>
          <t>ASKERSUND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45210-2023</t>
        </is>
      </c>
      <c r="B346" s="1" t="n">
        <v>45191</v>
      </c>
      <c r="C346" s="1" t="n">
        <v>45895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16267-2023</t>
        </is>
      </c>
      <c r="B347" s="1" t="n">
        <v>45028.51484953704</v>
      </c>
      <c r="C347" s="1" t="n">
        <v>45895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51521-2020</t>
        </is>
      </c>
      <c r="B348" s="1" t="n">
        <v>44113</v>
      </c>
      <c r="C348" s="1" t="n">
        <v>45895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38572-2023</t>
        </is>
      </c>
      <c r="B349" s="1" t="n">
        <v>45162</v>
      </c>
      <c r="C349" s="1" t="n">
        <v>45895</v>
      </c>
      <c r="D349" t="inlineStr">
        <is>
          <t>ÖREBRO LÄN</t>
        </is>
      </c>
      <c r="E349" t="inlineStr">
        <is>
          <t>ASKERSUND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46616-2023</t>
        </is>
      </c>
      <c r="B350" s="1" t="n">
        <v>45198.40267361111</v>
      </c>
      <c r="C350" s="1" t="n">
        <v>45895</v>
      </c>
      <c r="D350" t="inlineStr">
        <is>
          <t>ÖREBRO LÄN</t>
        </is>
      </c>
      <c r="E350" t="inlineStr">
        <is>
          <t>ASKERSUND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9169-2022</t>
        </is>
      </c>
      <c r="B351" s="1" t="n">
        <v>44615</v>
      </c>
      <c r="C351" s="1" t="n">
        <v>45895</v>
      </c>
      <c r="D351" t="inlineStr">
        <is>
          <t>ÖREBRO LÄN</t>
        </is>
      </c>
      <c r="E351" t="inlineStr">
        <is>
          <t>ASKERSUND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33660-2023</t>
        </is>
      </c>
      <c r="B352" s="1" t="n">
        <v>45132.59460648148</v>
      </c>
      <c r="C352" s="1" t="n">
        <v>45895</v>
      </c>
      <c r="D352" t="inlineStr">
        <is>
          <t>ÖREBRO LÄN</t>
        </is>
      </c>
      <c r="E352" t="inlineStr">
        <is>
          <t>ASKERSUND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28555-2023</t>
        </is>
      </c>
      <c r="B353" s="1" t="n">
        <v>45103.51847222223</v>
      </c>
      <c r="C353" s="1" t="n">
        <v>45895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3669-2023</t>
        </is>
      </c>
      <c r="B354" s="1" t="n">
        <v>44950</v>
      </c>
      <c r="C354" s="1" t="n">
        <v>45895</v>
      </c>
      <c r="D354" t="inlineStr">
        <is>
          <t>ÖREBRO LÄN</t>
        </is>
      </c>
      <c r="E354" t="inlineStr">
        <is>
          <t>ASKERSUND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3679-2023</t>
        </is>
      </c>
      <c r="B355" s="1" t="n">
        <v>44950.89840277778</v>
      </c>
      <c r="C355" s="1" t="n">
        <v>45895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32040-2024</t>
        </is>
      </c>
      <c r="B356" s="1" t="n">
        <v>45510</v>
      </c>
      <c r="C356" s="1" t="n">
        <v>45895</v>
      </c>
      <c r="D356" t="inlineStr">
        <is>
          <t>ÖREBRO LÄN</t>
        </is>
      </c>
      <c r="E356" t="inlineStr">
        <is>
          <t>ASKERSUND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7872-2025</t>
        </is>
      </c>
      <c r="B357" s="1" t="n">
        <v>45706</v>
      </c>
      <c r="C357" s="1" t="n">
        <v>45895</v>
      </c>
      <c r="D357" t="inlineStr">
        <is>
          <t>ÖREBRO LÄN</t>
        </is>
      </c>
      <c r="E357" t="inlineStr">
        <is>
          <t>ASKERSUND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26198-2025</t>
        </is>
      </c>
      <c r="B358" s="1" t="n">
        <v>45805.50146990741</v>
      </c>
      <c r="C358" s="1" t="n">
        <v>45895</v>
      </c>
      <c r="D358" t="inlineStr">
        <is>
          <t>ÖREBRO LÄN</t>
        </is>
      </c>
      <c r="E358" t="inlineStr">
        <is>
          <t>ASKERSUND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642-2022</t>
        </is>
      </c>
      <c r="B359" s="1" t="n">
        <v>44568.39900462963</v>
      </c>
      <c r="C359" s="1" t="n">
        <v>45895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16952-2022</t>
        </is>
      </c>
      <c r="B360" s="1" t="n">
        <v>44676.48239583334</v>
      </c>
      <c r="C360" s="1" t="n">
        <v>45895</v>
      </c>
      <c r="D360" t="inlineStr">
        <is>
          <t>ÖREBRO LÄN</t>
        </is>
      </c>
      <c r="E360" t="inlineStr">
        <is>
          <t>ASKERSUND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16953-2022</t>
        </is>
      </c>
      <c r="B361" s="1" t="n">
        <v>44676.48760416666</v>
      </c>
      <c r="C361" s="1" t="n">
        <v>45895</v>
      </c>
      <c r="D361" t="inlineStr">
        <is>
          <t>ÖREBRO LÄN</t>
        </is>
      </c>
      <c r="E361" t="inlineStr">
        <is>
          <t>ASKERSUND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24078-2024</t>
        </is>
      </c>
      <c r="B362" s="1" t="n">
        <v>45456.56702546297</v>
      </c>
      <c r="C362" s="1" t="n">
        <v>45895</v>
      </c>
      <c r="D362" t="inlineStr">
        <is>
          <t>ÖREBRO LÄN</t>
        </is>
      </c>
      <c r="E362" t="inlineStr">
        <is>
          <t>ASKERSUND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16631-2024</t>
        </is>
      </c>
      <c r="B363" s="1" t="n">
        <v>45408.59015046297</v>
      </c>
      <c r="C363" s="1" t="n">
        <v>45895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47344-2024</t>
        </is>
      </c>
      <c r="B364" s="1" t="n">
        <v>45587.40885416666</v>
      </c>
      <c r="C364" s="1" t="n">
        <v>45895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37404-2022</t>
        </is>
      </c>
      <c r="B365" s="1" t="n">
        <v>44808</v>
      </c>
      <c r="C365" s="1" t="n">
        <v>45895</v>
      </c>
      <c r="D365" t="inlineStr">
        <is>
          <t>ÖREBRO LÄN</t>
        </is>
      </c>
      <c r="E365" t="inlineStr">
        <is>
          <t>ASKERSUND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13046-2024</t>
        </is>
      </c>
      <c r="B366" s="1" t="n">
        <v>45385</v>
      </c>
      <c r="C366" s="1" t="n">
        <v>45895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5050-2022</t>
        </is>
      </c>
      <c r="B367" s="1" t="n">
        <v>44593.68526620371</v>
      </c>
      <c r="C367" s="1" t="n">
        <v>45895</v>
      </c>
      <c r="D367" t="inlineStr">
        <is>
          <t>ÖREBRO LÄN</t>
        </is>
      </c>
      <c r="E367" t="inlineStr">
        <is>
          <t>ASKERSUND</t>
        </is>
      </c>
      <c r="F367" t="inlineStr">
        <is>
          <t>Allmännings- och besparingsskogar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15806-2024</t>
        </is>
      </c>
      <c r="B368" s="1" t="n">
        <v>45404.66259259259</v>
      </c>
      <c r="C368" s="1" t="n">
        <v>45895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37294-2021</t>
        </is>
      </c>
      <c r="B369" s="1" t="n">
        <v>44397</v>
      </c>
      <c r="C369" s="1" t="n">
        <v>45895</v>
      </c>
      <c r="D369" t="inlineStr">
        <is>
          <t>ÖREBRO LÄN</t>
        </is>
      </c>
      <c r="E369" t="inlineStr">
        <is>
          <t>ASKERSUND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59538-2023</t>
        </is>
      </c>
      <c r="B370" s="1" t="n">
        <v>45254</v>
      </c>
      <c r="C370" s="1" t="n">
        <v>45895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48746-2023</t>
        </is>
      </c>
      <c r="B371" s="1" t="n">
        <v>45208</v>
      </c>
      <c r="C371" s="1" t="n">
        <v>45895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9530-2025</t>
        </is>
      </c>
      <c r="B372" s="1" t="n">
        <v>45714</v>
      </c>
      <c r="C372" s="1" t="n">
        <v>45895</v>
      </c>
      <c r="D372" t="inlineStr">
        <is>
          <t>ÖREBRO LÄN</t>
        </is>
      </c>
      <c r="E372" t="inlineStr">
        <is>
          <t>ASKERSUND</t>
        </is>
      </c>
      <c r="F372" t="inlineStr">
        <is>
          <t>Övriga Aktiebolag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3728-2025</t>
        </is>
      </c>
      <c r="B373" s="1" t="n">
        <v>45681</v>
      </c>
      <c r="C373" s="1" t="n">
        <v>45895</v>
      </c>
      <c r="D373" t="inlineStr">
        <is>
          <t>ÖREBRO LÄN</t>
        </is>
      </c>
      <c r="E373" t="inlineStr">
        <is>
          <t>ASKERSUND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6904-2023</t>
        </is>
      </c>
      <c r="B374" s="1" t="n">
        <v>44967.51170138889</v>
      </c>
      <c r="C374" s="1" t="n">
        <v>45895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36484-2022</t>
        </is>
      </c>
      <c r="B375" s="1" t="n">
        <v>44804.44864583333</v>
      </c>
      <c r="C375" s="1" t="n">
        <v>45895</v>
      </c>
      <c r="D375" t="inlineStr">
        <is>
          <t>ÖREBRO LÄN</t>
        </is>
      </c>
      <c r="E375" t="inlineStr">
        <is>
          <t>ASKERSUND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11836-2025</t>
        </is>
      </c>
      <c r="B376" s="1" t="n">
        <v>45728.35930555555</v>
      </c>
      <c r="C376" s="1" t="n">
        <v>45895</v>
      </c>
      <c r="D376" t="inlineStr">
        <is>
          <t>ÖREBRO LÄN</t>
        </is>
      </c>
      <c r="E376" t="inlineStr">
        <is>
          <t>ASKERSUND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59562-2022</t>
        </is>
      </c>
      <c r="B377" s="1" t="n">
        <v>44907.60333333333</v>
      </c>
      <c r="C377" s="1" t="n">
        <v>45895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48654-2023</t>
        </is>
      </c>
      <c r="B378" s="1" t="n">
        <v>45208.60009259259</v>
      </c>
      <c r="C378" s="1" t="n">
        <v>45895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8366-2025</t>
        </is>
      </c>
      <c r="B379" s="1" t="n">
        <v>45708</v>
      </c>
      <c r="C379" s="1" t="n">
        <v>45895</v>
      </c>
      <c r="D379" t="inlineStr">
        <is>
          <t>ÖREBRO LÄN</t>
        </is>
      </c>
      <c r="E379" t="inlineStr">
        <is>
          <t>ASKERSUND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44161-2023</t>
        </is>
      </c>
      <c r="B380" s="1" t="n">
        <v>45188.48960648148</v>
      </c>
      <c r="C380" s="1" t="n">
        <v>45895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45895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5417-2025</t>
        </is>
      </c>
      <c r="B382" s="1" t="n">
        <v>45692</v>
      </c>
      <c r="C382" s="1" t="n">
        <v>45895</v>
      </c>
      <c r="D382" t="inlineStr">
        <is>
          <t>ÖREBRO LÄN</t>
        </is>
      </c>
      <c r="E382" t="inlineStr">
        <is>
          <t>ASKERSUND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26868-2025</t>
        </is>
      </c>
      <c r="B383" s="1" t="n">
        <v>45810</v>
      </c>
      <c r="C383" s="1" t="n">
        <v>45895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8044-2025</t>
        </is>
      </c>
      <c r="B384" s="1" t="n">
        <v>45707</v>
      </c>
      <c r="C384" s="1" t="n">
        <v>45895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22511-2024</t>
        </is>
      </c>
      <c r="B385" s="1" t="n">
        <v>45447.37612268519</v>
      </c>
      <c r="C385" s="1" t="n">
        <v>45895</v>
      </c>
      <c r="D385" t="inlineStr">
        <is>
          <t>ÖREBRO LÄN</t>
        </is>
      </c>
      <c r="E385" t="inlineStr">
        <is>
          <t>ASKERSUND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17894-2025</t>
        </is>
      </c>
      <c r="B386" s="1" t="n">
        <v>45758</v>
      </c>
      <c r="C386" s="1" t="n">
        <v>45895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1813-2024</t>
        </is>
      </c>
      <c r="B387" s="1" t="n">
        <v>45307.60575231481</v>
      </c>
      <c r="C387" s="1" t="n">
        <v>45895</v>
      </c>
      <c r="D387" t="inlineStr">
        <is>
          <t>ÖREBRO LÄN</t>
        </is>
      </c>
      <c r="E387" t="inlineStr">
        <is>
          <t>ASKERSUND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50014-2021</t>
        </is>
      </c>
      <c r="B388" s="1" t="n">
        <v>44456.4811574074</v>
      </c>
      <c r="C388" s="1" t="n">
        <v>45895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11066-2025</t>
        </is>
      </c>
      <c r="B389" s="1" t="n">
        <v>45723.52548611111</v>
      </c>
      <c r="C389" s="1" t="n">
        <v>45895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65068-2023</t>
        </is>
      </c>
      <c r="B390" s="1" t="n">
        <v>45285</v>
      </c>
      <c r="C390" s="1" t="n">
        <v>45895</v>
      </c>
      <c r="D390" t="inlineStr">
        <is>
          <t>ÖREBRO LÄN</t>
        </is>
      </c>
      <c r="E390" t="inlineStr">
        <is>
          <t>ASKERSUND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11094-2025</t>
        </is>
      </c>
      <c r="B391" s="1" t="n">
        <v>45723.58001157407</v>
      </c>
      <c r="C391" s="1" t="n">
        <v>45895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25972-2022</t>
        </is>
      </c>
      <c r="B392" s="1" t="n">
        <v>44734</v>
      </c>
      <c r="C392" s="1" t="n">
        <v>45895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27617-2025</t>
        </is>
      </c>
      <c r="B393" s="1" t="n">
        <v>45813</v>
      </c>
      <c r="C393" s="1" t="n">
        <v>45895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12732-2022</t>
        </is>
      </c>
      <c r="B394" s="1" t="n">
        <v>44641</v>
      </c>
      <c r="C394" s="1" t="n">
        <v>45895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29993-2023</t>
        </is>
      </c>
      <c r="B395" s="1" t="n">
        <v>45109.58806712963</v>
      </c>
      <c r="C395" s="1" t="n">
        <v>45895</v>
      </c>
      <c r="D395" t="inlineStr">
        <is>
          <t>ÖREBRO LÄN</t>
        </is>
      </c>
      <c r="E395" t="inlineStr">
        <is>
          <t>ASKERSUND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42642-2020</t>
        </is>
      </c>
      <c r="B396" s="1" t="n">
        <v>44077</v>
      </c>
      <c r="C396" s="1" t="n">
        <v>45895</v>
      </c>
      <c r="D396" t="inlineStr">
        <is>
          <t>ÖREBRO LÄN</t>
        </is>
      </c>
      <c r="E396" t="inlineStr">
        <is>
          <t>ASKERSUND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46174-2021</t>
        </is>
      </c>
      <c r="B397" s="1" t="n">
        <v>44442</v>
      </c>
      <c r="C397" s="1" t="n">
        <v>45895</v>
      </c>
      <c r="D397" t="inlineStr">
        <is>
          <t>ÖREBRO LÄN</t>
        </is>
      </c>
      <c r="E397" t="inlineStr">
        <is>
          <t>ASKERSUND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27835-2025</t>
        </is>
      </c>
      <c r="B398" s="1" t="n">
        <v>45817.37068287037</v>
      </c>
      <c r="C398" s="1" t="n">
        <v>45895</v>
      </c>
      <c r="D398" t="inlineStr">
        <is>
          <t>ÖREBRO LÄN</t>
        </is>
      </c>
      <c r="E398" t="inlineStr">
        <is>
          <t>ASKERSUND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22814-2024</t>
        </is>
      </c>
      <c r="B399" s="1" t="n">
        <v>45448</v>
      </c>
      <c r="C399" s="1" t="n">
        <v>45895</v>
      </c>
      <c r="D399" t="inlineStr">
        <is>
          <t>ÖREBRO LÄN</t>
        </is>
      </c>
      <c r="E399" t="inlineStr">
        <is>
          <t>ASKERSUND</t>
        </is>
      </c>
      <c r="F399" t="inlineStr">
        <is>
          <t>Övriga Aktiebolag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6902-2023</t>
        </is>
      </c>
      <c r="B400" s="1" t="n">
        <v>44967.51108796296</v>
      </c>
      <c r="C400" s="1" t="n">
        <v>45895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10076-2024</t>
        </is>
      </c>
      <c r="B401" s="1" t="n">
        <v>45364.41105324074</v>
      </c>
      <c r="C401" s="1" t="n">
        <v>45895</v>
      </c>
      <c r="D401" t="inlineStr">
        <is>
          <t>ÖREBRO LÄN</t>
        </is>
      </c>
      <c r="E401" t="inlineStr">
        <is>
          <t>ASKERSUND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16097-2023</t>
        </is>
      </c>
      <c r="B402" s="1" t="n">
        <v>45027.51179398148</v>
      </c>
      <c r="C402" s="1" t="n">
        <v>45895</v>
      </c>
      <c r="D402" t="inlineStr">
        <is>
          <t>ÖREBRO LÄN</t>
        </is>
      </c>
      <c r="E402" t="inlineStr">
        <is>
          <t>ASKERSUND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52786-2023</t>
        </is>
      </c>
      <c r="B403" s="1" t="n">
        <v>45226</v>
      </c>
      <c r="C403" s="1" t="n">
        <v>45895</v>
      </c>
      <c r="D403" t="inlineStr">
        <is>
          <t>ÖREBRO LÄN</t>
        </is>
      </c>
      <c r="E403" t="inlineStr">
        <is>
          <t>ASKERSUND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27814-2025</t>
        </is>
      </c>
      <c r="B404" s="1" t="n">
        <v>45817.32715277778</v>
      </c>
      <c r="C404" s="1" t="n">
        <v>45895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18802-2024</t>
        </is>
      </c>
      <c r="B405" s="1" t="n">
        <v>45426.60180555555</v>
      </c>
      <c r="C405" s="1" t="n">
        <v>45895</v>
      </c>
      <c r="D405" t="inlineStr">
        <is>
          <t>ÖREBRO LÄN</t>
        </is>
      </c>
      <c r="E405" t="inlineStr">
        <is>
          <t>ASKERSUND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18672-2022</t>
        </is>
      </c>
      <c r="B406" s="1" t="n">
        <v>44687.54699074074</v>
      </c>
      <c r="C406" s="1" t="n">
        <v>45895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62319-2023</t>
        </is>
      </c>
      <c r="B407" s="1" t="n">
        <v>45267.75094907408</v>
      </c>
      <c r="C407" s="1" t="n">
        <v>45895</v>
      </c>
      <c r="D407" t="inlineStr">
        <is>
          <t>ÖREBRO LÄN</t>
        </is>
      </c>
      <c r="E407" t="inlineStr">
        <is>
          <t>ASKERSUND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27819-2025</t>
        </is>
      </c>
      <c r="B408" s="1" t="n">
        <v>45817</v>
      </c>
      <c r="C408" s="1" t="n">
        <v>45895</v>
      </c>
      <c r="D408" t="inlineStr">
        <is>
          <t>ÖREBRO LÄN</t>
        </is>
      </c>
      <c r="E408" t="inlineStr">
        <is>
          <t>ASKERSUND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27840-2025</t>
        </is>
      </c>
      <c r="B409" s="1" t="n">
        <v>45817.37528935185</v>
      </c>
      <c r="C409" s="1" t="n">
        <v>45895</v>
      </c>
      <c r="D409" t="inlineStr">
        <is>
          <t>ÖREBRO LÄN</t>
        </is>
      </c>
      <c r="E409" t="inlineStr">
        <is>
          <t>ASKERSUND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8210-2022</t>
        </is>
      </c>
      <c r="B410" s="1" t="n">
        <v>44609</v>
      </c>
      <c r="C410" s="1" t="n">
        <v>45895</v>
      </c>
      <c r="D410" t="inlineStr">
        <is>
          <t>ÖREBRO LÄN</t>
        </is>
      </c>
      <c r="E410" t="inlineStr">
        <is>
          <t>ASKERSUND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27218-2024</t>
        </is>
      </c>
      <c r="B411" s="1" t="n">
        <v>45471.6228587963</v>
      </c>
      <c r="C411" s="1" t="n">
        <v>45895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41838-2022</t>
        </is>
      </c>
      <c r="B412" s="1" t="n">
        <v>44828</v>
      </c>
      <c r="C412" s="1" t="n">
        <v>45895</v>
      </c>
      <c r="D412" t="inlineStr">
        <is>
          <t>ÖREBRO LÄN</t>
        </is>
      </c>
      <c r="E412" t="inlineStr">
        <is>
          <t>ASKERSUND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28395-2025</t>
        </is>
      </c>
      <c r="B413" s="1" t="n">
        <v>45819.33648148148</v>
      </c>
      <c r="C413" s="1" t="n">
        <v>45895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28413-2025</t>
        </is>
      </c>
      <c r="B414" s="1" t="n">
        <v>45819.350625</v>
      </c>
      <c r="C414" s="1" t="n">
        <v>45895</v>
      </c>
      <c r="D414" t="inlineStr">
        <is>
          <t>ÖREBRO LÄN</t>
        </is>
      </c>
      <c r="E414" t="inlineStr">
        <is>
          <t>ASKERSUND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11489-2023</t>
        </is>
      </c>
      <c r="B415" s="1" t="n">
        <v>44993.64357638889</v>
      </c>
      <c r="C415" s="1" t="n">
        <v>45895</v>
      </c>
      <c r="D415" t="inlineStr">
        <is>
          <t>ÖREBRO LÄN</t>
        </is>
      </c>
      <c r="E415" t="inlineStr">
        <is>
          <t>ASKERSUND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58155-2021</t>
        </is>
      </c>
      <c r="B416" s="1" t="n">
        <v>44487</v>
      </c>
      <c r="C416" s="1" t="n">
        <v>45895</v>
      </c>
      <c r="D416" t="inlineStr">
        <is>
          <t>ÖREBRO LÄN</t>
        </is>
      </c>
      <c r="E416" t="inlineStr">
        <is>
          <t>ASKERSUND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13780-2023</t>
        </is>
      </c>
      <c r="B417" s="1" t="n">
        <v>45007.47386574074</v>
      </c>
      <c r="C417" s="1" t="n">
        <v>45895</v>
      </c>
      <c r="D417" t="inlineStr">
        <is>
          <t>ÖREBRO LÄN</t>
        </is>
      </c>
      <c r="E417" t="inlineStr">
        <is>
          <t>ASKERSUND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29800-2025</t>
        </is>
      </c>
      <c r="B418" s="1" t="n">
        <v>45825.69447916667</v>
      </c>
      <c r="C418" s="1" t="n">
        <v>45895</v>
      </c>
      <c r="D418" t="inlineStr">
        <is>
          <t>ÖREBRO LÄN</t>
        </is>
      </c>
      <c r="E418" t="inlineStr">
        <is>
          <t>ASKERSUND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29802-2025</t>
        </is>
      </c>
      <c r="B419" s="1" t="n">
        <v>45825.6991550926</v>
      </c>
      <c r="C419" s="1" t="n">
        <v>45895</v>
      </c>
      <c r="D419" t="inlineStr">
        <is>
          <t>ÖREBRO LÄN</t>
        </is>
      </c>
      <c r="E419" t="inlineStr">
        <is>
          <t>ASKERSUND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31668-2024</t>
        </is>
      </c>
      <c r="B420" s="1" t="n">
        <v>45506.94680555556</v>
      </c>
      <c r="C420" s="1" t="n">
        <v>45895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15976-2023</t>
        </is>
      </c>
      <c r="B421" s="1" t="n">
        <v>45022</v>
      </c>
      <c r="C421" s="1" t="n">
        <v>45895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61139-2021</t>
        </is>
      </c>
      <c r="B422" s="1" t="n">
        <v>44498.3784837963</v>
      </c>
      <c r="C422" s="1" t="n">
        <v>45895</v>
      </c>
      <c r="D422" t="inlineStr">
        <is>
          <t>ÖREBRO LÄN</t>
        </is>
      </c>
      <c r="E422" t="inlineStr">
        <is>
          <t>ASKERSUND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43662-2024</t>
        </is>
      </c>
      <c r="B423" s="1" t="n">
        <v>45569.55479166667</v>
      </c>
      <c r="C423" s="1" t="n">
        <v>45895</v>
      </c>
      <c r="D423" t="inlineStr">
        <is>
          <t>ÖREBRO LÄN</t>
        </is>
      </c>
      <c r="E423" t="inlineStr">
        <is>
          <t>ASKERSUND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60114-2024</t>
        </is>
      </c>
      <c r="B424" s="1" t="n">
        <v>45642</v>
      </c>
      <c r="C424" s="1" t="n">
        <v>45895</v>
      </c>
      <c r="D424" t="inlineStr">
        <is>
          <t>ÖREBRO LÄN</t>
        </is>
      </c>
      <c r="E424" t="inlineStr">
        <is>
          <t>ASKERSUND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36283-2025</t>
        </is>
      </c>
      <c r="B425" s="1" t="n">
        <v>45867</v>
      </c>
      <c r="C425" s="1" t="n">
        <v>45895</v>
      </c>
      <c r="D425" t="inlineStr">
        <is>
          <t>ÖREBRO LÄN</t>
        </is>
      </c>
      <c r="E425" t="inlineStr">
        <is>
          <t>ASKERSUND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13617-2022</t>
        </is>
      </c>
      <c r="B426" s="1" t="n">
        <v>44648</v>
      </c>
      <c r="C426" s="1" t="n">
        <v>45895</v>
      </c>
      <c r="D426" t="inlineStr">
        <is>
          <t>ÖREBRO LÄN</t>
        </is>
      </c>
      <c r="E426" t="inlineStr">
        <is>
          <t>ASKERSUND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13425-2022</t>
        </is>
      </c>
      <c r="B427" s="1" t="n">
        <v>44645</v>
      </c>
      <c r="C427" s="1" t="n">
        <v>45895</v>
      </c>
      <c r="D427" t="inlineStr">
        <is>
          <t>ÖREBRO LÄN</t>
        </is>
      </c>
      <c r="E427" t="inlineStr">
        <is>
          <t>ASKERSUND</t>
        </is>
      </c>
      <c r="G427" t="n">
        <v>16.8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51100-2020</t>
        </is>
      </c>
      <c r="B428" s="1" t="n">
        <v>44112.43302083333</v>
      </c>
      <c r="C428" s="1" t="n">
        <v>45895</v>
      </c>
      <c r="D428" t="inlineStr">
        <is>
          <t>ÖREBRO LÄN</t>
        </is>
      </c>
      <c r="E428" t="inlineStr">
        <is>
          <t>ASKERSUND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44332-2020</t>
        </is>
      </c>
      <c r="B429" s="1" t="n">
        <v>44084</v>
      </c>
      <c r="C429" s="1" t="n">
        <v>45895</v>
      </c>
      <c r="D429" t="inlineStr">
        <is>
          <t>ÖREBRO LÄN</t>
        </is>
      </c>
      <c r="E429" t="inlineStr">
        <is>
          <t>ASKERSUND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44336-2020</t>
        </is>
      </c>
      <c r="B430" s="1" t="n">
        <v>44084</v>
      </c>
      <c r="C430" s="1" t="n">
        <v>45895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29983-2024</t>
        </is>
      </c>
      <c r="B431" s="1" t="n">
        <v>45485</v>
      </c>
      <c r="C431" s="1" t="n">
        <v>45895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29985-2024</t>
        </is>
      </c>
      <c r="B432" s="1" t="n">
        <v>45485</v>
      </c>
      <c r="C432" s="1" t="n">
        <v>45895</v>
      </c>
      <c r="D432" t="inlineStr">
        <is>
          <t>ÖREBRO LÄN</t>
        </is>
      </c>
      <c r="E432" t="inlineStr">
        <is>
          <t>ASKERSUND</t>
        </is>
      </c>
      <c r="F432" t="inlineStr">
        <is>
          <t>Kommuner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15572-2022</t>
        </is>
      </c>
      <c r="B433" s="1" t="n">
        <v>44662</v>
      </c>
      <c r="C433" s="1" t="n">
        <v>45895</v>
      </c>
      <c r="D433" t="inlineStr">
        <is>
          <t>ÖREBRO LÄN</t>
        </is>
      </c>
      <c r="E433" t="inlineStr">
        <is>
          <t>ASKERSUND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13981-2022</t>
        </is>
      </c>
      <c r="B434" s="1" t="n">
        <v>44650</v>
      </c>
      <c r="C434" s="1" t="n">
        <v>45895</v>
      </c>
      <c r="D434" t="inlineStr">
        <is>
          <t>ÖREBRO LÄN</t>
        </is>
      </c>
      <c r="E434" t="inlineStr">
        <is>
          <t>ASKERSUND</t>
        </is>
      </c>
      <c r="G434" t="n">
        <v>11.7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55047-2021</t>
        </is>
      </c>
      <c r="B435" s="1" t="n">
        <v>44474</v>
      </c>
      <c r="C435" s="1" t="n">
        <v>45895</v>
      </c>
      <c r="D435" t="inlineStr">
        <is>
          <t>ÖREBRO LÄN</t>
        </is>
      </c>
      <c r="E435" t="inlineStr">
        <is>
          <t>ASKERSUND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59986-2020</t>
        </is>
      </c>
      <c r="B436" s="1" t="n">
        <v>44151</v>
      </c>
      <c r="C436" s="1" t="n">
        <v>45895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35450-2021</t>
        </is>
      </c>
      <c r="B437" s="1" t="n">
        <v>44385</v>
      </c>
      <c r="C437" s="1" t="n">
        <v>45895</v>
      </c>
      <c r="D437" t="inlineStr">
        <is>
          <t>ÖREBRO LÄN</t>
        </is>
      </c>
      <c r="E437" t="inlineStr">
        <is>
          <t>ASKERSUND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15722-2025</t>
        </is>
      </c>
      <c r="B438" s="1" t="n">
        <v>45748.51697916666</v>
      </c>
      <c r="C438" s="1" t="n">
        <v>45895</v>
      </c>
      <c r="D438" t="inlineStr">
        <is>
          <t>ÖREBRO LÄN</t>
        </is>
      </c>
      <c r="E438" t="inlineStr">
        <is>
          <t>ASKERSUND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1004-2024</t>
        </is>
      </c>
      <c r="B439" s="1" t="n">
        <v>45301</v>
      </c>
      <c r="C439" s="1" t="n">
        <v>45895</v>
      </c>
      <c r="D439" t="inlineStr">
        <is>
          <t>ÖREBRO LÄN</t>
        </is>
      </c>
      <c r="E439" t="inlineStr">
        <is>
          <t>ASKERSUND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47983-2022</t>
        </is>
      </c>
      <c r="B440" s="1" t="n">
        <v>44855</v>
      </c>
      <c r="C440" s="1" t="n">
        <v>45895</v>
      </c>
      <c r="D440" t="inlineStr">
        <is>
          <t>ÖREBRO LÄN</t>
        </is>
      </c>
      <c r="E440" t="inlineStr">
        <is>
          <t>ASKERSUND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21448-2024</t>
        </is>
      </c>
      <c r="B441" s="1" t="n">
        <v>45441</v>
      </c>
      <c r="C441" s="1" t="n">
        <v>45895</v>
      </c>
      <c r="D441" t="inlineStr">
        <is>
          <t>ÖREBRO LÄN</t>
        </is>
      </c>
      <c r="E441" t="inlineStr">
        <is>
          <t>ASKERSUND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26485-2022</t>
        </is>
      </c>
      <c r="B442" s="1" t="n">
        <v>44739</v>
      </c>
      <c r="C442" s="1" t="n">
        <v>45895</v>
      </c>
      <c r="D442" t="inlineStr">
        <is>
          <t>ÖREBRO LÄN</t>
        </is>
      </c>
      <c r="E442" t="inlineStr">
        <is>
          <t>ASKERSUND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59920-2023</t>
        </is>
      </c>
      <c r="B443" s="1" t="n">
        <v>45257</v>
      </c>
      <c r="C443" s="1" t="n">
        <v>45895</v>
      </c>
      <c r="D443" t="inlineStr">
        <is>
          <t>ÖREBRO LÄN</t>
        </is>
      </c>
      <c r="E443" t="inlineStr">
        <is>
          <t>ASKERSUND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12797-2025</t>
        </is>
      </c>
      <c r="B444" s="1" t="n">
        <v>45733.61097222222</v>
      </c>
      <c r="C444" s="1" t="n">
        <v>45895</v>
      </c>
      <c r="D444" t="inlineStr">
        <is>
          <t>ÖREBRO LÄN</t>
        </is>
      </c>
      <c r="E444" t="inlineStr">
        <is>
          <t>ASKERSUND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12801-2025</t>
        </is>
      </c>
      <c r="B445" s="1" t="n">
        <v>45733.61251157407</v>
      </c>
      <c r="C445" s="1" t="n">
        <v>45895</v>
      </c>
      <c r="D445" t="inlineStr">
        <is>
          <t>ÖREBRO LÄN</t>
        </is>
      </c>
      <c r="E445" t="inlineStr">
        <is>
          <t>ASKERSUND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8026-2025</t>
        </is>
      </c>
      <c r="B446" s="1" t="n">
        <v>45707</v>
      </c>
      <c r="C446" s="1" t="n">
        <v>45895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30006-2024</t>
        </is>
      </c>
      <c r="B447" s="1" t="n">
        <v>45485</v>
      </c>
      <c r="C447" s="1" t="n">
        <v>45895</v>
      </c>
      <c r="D447" t="inlineStr">
        <is>
          <t>ÖREBRO LÄN</t>
        </is>
      </c>
      <c r="E447" t="inlineStr">
        <is>
          <t>ASKERSUND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15731-2025</t>
        </is>
      </c>
      <c r="B448" s="1" t="n">
        <v>45748</v>
      </c>
      <c r="C448" s="1" t="n">
        <v>45895</v>
      </c>
      <c r="D448" t="inlineStr">
        <is>
          <t>ÖREBRO LÄN</t>
        </is>
      </c>
      <c r="E448" t="inlineStr">
        <is>
          <t>ASKERSUND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12699-2025</t>
        </is>
      </c>
      <c r="B449" s="1" t="n">
        <v>45733.4640625</v>
      </c>
      <c r="C449" s="1" t="n">
        <v>45895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56033-2022</t>
        </is>
      </c>
      <c r="B450" s="1" t="n">
        <v>44889.5547337963</v>
      </c>
      <c r="C450" s="1" t="n">
        <v>45895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15725-2025</t>
        </is>
      </c>
      <c r="B451" s="1" t="n">
        <v>45748</v>
      </c>
      <c r="C451" s="1" t="n">
        <v>45895</v>
      </c>
      <c r="D451" t="inlineStr">
        <is>
          <t>ÖREBRO LÄN</t>
        </is>
      </c>
      <c r="E451" t="inlineStr">
        <is>
          <t>ASKERSUND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30427-2025</t>
        </is>
      </c>
      <c r="B452" s="1" t="n">
        <v>45827.61739583333</v>
      </c>
      <c r="C452" s="1" t="n">
        <v>45895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30431-2025</t>
        </is>
      </c>
      <c r="B453" s="1" t="n">
        <v>45827.62758101852</v>
      </c>
      <c r="C453" s="1" t="n">
        <v>45895</v>
      </c>
      <c r="D453" t="inlineStr">
        <is>
          <t>ÖREBRO LÄN</t>
        </is>
      </c>
      <c r="E453" t="inlineStr">
        <is>
          <t>ASKERSUND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12426-2023</t>
        </is>
      </c>
      <c r="B454" s="1" t="n">
        <v>44999.53523148148</v>
      </c>
      <c r="C454" s="1" t="n">
        <v>45895</v>
      </c>
      <c r="D454" t="inlineStr">
        <is>
          <t>ÖREBRO LÄN</t>
        </is>
      </c>
      <c r="E454" t="inlineStr">
        <is>
          <t>ASKERSUND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30416-2025</t>
        </is>
      </c>
      <c r="B455" s="1" t="n">
        <v>45827.60635416667</v>
      </c>
      <c r="C455" s="1" t="n">
        <v>45895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4474-2024</t>
        </is>
      </c>
      <c r="B456" s="1" t="n">
        <v>45327</v>
      </c>
      <c r="C456" s="1" t="n">
        <v>45895</v>
      </c>
      <c r="D456" t="inlineStr">
        <is>
          <t>ÖREBRO LÄN</t>
        </is>
      </c>
      <c r="E456" t="inlineStr">
        <is>
          <t>ASKERSUND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30351-2025</t>
        </is>
      </c>
      <c r="B457" s="1" t="n">
        <v>45827.53324074074</v>
      </c>
      <c r="C457" s="1" t="n">
        <v>45895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9508-2025</t>
        </is>
      </c>
      <c r="B458" s="1" t="n">
        <v>45714</v>
      </c>
      <c r="C458" s="1" t="n">
        <v>45895</v>
      </c>
      <c r="D458" t="inlineStr">
        <is>
          <t>ÖREBRO LÄN</t>
        </is>
      </c>
      <c r="E458" t="inlineStr">
        <is>
          <t>ASKERSUND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9516-2025</t>
        </is>
      </c>
      <c r="B459" s="1" t="n">
        <v>45714</v>
      </c>
      <c r="C459" s="1" t="n">
        <v>45895</v>
      </c>
      <c r="D459" t="inlineStr">
        <is>
          <t>ÖREBRO LÄN</t>
        </is>
      </c>
      <c r="E459" t="inlineStr">
        <is>
          <t>ASKERSUND</t>
        </is>
      </c>
      <c r="F459" t="inlineStr">
        <is>
          <t>Övriga Aktiebolag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51897-2024</t>
        </is>
      </c>
      <c r="B460" s="1" t="n">
        <v>45607</v>
      </c>
      <c r="C460" s="1" t="n">
        <v>45895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31973-2023</t>
        </is>
      </c>
      <c r="B461" s="1" t="n">
        <v>45107</v>
      </c>
      <c r="C461" s="1" t="n">
        <v>45895</v>
      </c>
      <c r="D461" t="inlineStr">
        <is>
          <t>ÖREBRO LÄN</t>
        </is>
      </c>
      <c r="E461" t="inlineStr">
        <is>
          <t>ASKERSUND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50048-2022</t>
        </is>
      </c>
      <c r="B462" s="1" t="n">
        <v>44865.47030092592</v>
      </c>
      <c r="C462" s="1" t="n">
        <v>45895</v>
      </c>
      <c r="D462" t="inlineStr">
        <is>
          <t>ÖREBRO LÄN</t>
        </is>
      </c>
      <c r="E462" t="inlineStr">
        <is>
          <t>ASKERSUND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37532-2023</t>
        </is>
      </c>
      <c r="B463" s="1" t="n">
        <v>45158.89597222222</v>
      </c>
      <c r="C463" s="1" t="n">
        <v>45895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62107-2024</t>
        </is>
      </c>
      <c r="B464" s="1" t="n">
        <v>45656</v>
      </c>
      <c r="C464" s="1" t="n">
        <v>45895</v>
      </c>
      <c r="D464" t="inlineStr">
        <is>
          <t>ÖREBRO LÄN</t>
        </is>
      </c>
      <c r="E464" t="inlineStr">
        <is>
          <t>ASKERSUND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62108-2024</t>
        </is>
      </c>
      <c r="B465" s="1" t="n">
        <v>45656</v>
      </c>
      <c r="C465" s="1" t="n">
        <v>45895</v>
      </c>
      <c r="D465" t="inlineStr">
        <is>
          <t>ÖREBRO LÄN</t>
        </is>
      </c>
      <c r="E465" t="inlineStr">
        <is>
          <t>ASKERSUND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23418-2024</t>
        </is>
      </c>
      <c r="B466" s="1" t="n">
        <v>45453.59858796297</v>
      </c>
      <c r="C466" s="1" t="n">
        <v>45895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23420-2024</t>
        </is>
      </c>
      <c r="B467" s="1" t="n">
        <v>45453.6003587963</v>
      </c>
      <c r="C467" s="1" t="n">
        <v>45895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34501-2024</t>
        </is>
      </c>
      <c r="B468" s="1" t="n">
        <v>45525.64034722222</v>
      </c>
      <c r="C468" s="1" t="n">
        <v>45895</v>
      </c>
      <c r="D468" t="inlineStr">
        <is>
          <t>ÖREBRO LÄN</t>
        </is>
      </c>
      <c r="E468" t="inlineStr">
        <is>
          <t>ASKERSUND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54723-2021</t>
        </is>
      </c>
      <c r="B469" s="1" t="n">
        <v>44473.82302083333</v>
      </c>
      <c r="C469" s="1" t="n">
        <v>45895</v>
      </c>
      <c r="D469" t="inlineStr">
        <is>
          <t>ÖREBRO LÄN</t>
        </is>
      </c>
      <c r="E469" t="inlineStr">
        <is>
          <t>ASKERSUND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62109-2024</t>
        </is>
      </c>
      <c r="B470" s="1" t="n">
        <v>45656</v>
      </c>
      <c r="C470" s="1" t="n">
        <v>45895</v>
      </c>
      <c r="D470" t="inlineStr">
        <is>
          <t>ÖREBRO LÄN</t>
        </is>
      </c>
      <c r="E470" t="inlineStr">
        <is>
          <t>ASKERSUND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16643-2023</t>
        </is>
      </c>
      <c r="B471" s="1" t="n">
        <v>45030.49903935185</v>
      </c>
      <c r="C471" s="1" t="n">
        <v>45895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12696-2025</t>
        </is>
      </c>
      <c r="B472" s="1" t="n">
        <v>45733.46162037037</v>
      </c>
      <c r="C472" s="1" t="n">
        <v>45895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29401-2022</t>
        </is>
      </c>
      <c r="B473" s="1" t="n">
        <v>44753</v>
      </c>
      <c r="C473" s="1" t="n">
        <v>45895</v>
      </c>
      <c r="D473" t="inlineStr">
        <is>
          <t>ÖREBRO LÄN</t>
        </is>
      </c>
      <c r="E473" t="inlineStr">
        <is>
          <t>ASKERSUND</t>
        </is>
      </c>
      <c r="F473" t="inlineStr">
        <is>
          <t>Övriga Aktiebolag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1359-2022</t>
        </is>
      </c>
      <c r="B474" s="1" t="n">
        <v>44573</v>
      </c>
      <c r="C474" s="1" t="n">
        <v>45895</v>
      </c>
      <c r="D474" t="inlineStr">
        <is>
          <t>ÖREBRO LÄN</t>
        </is>
      </c>
      <c r="E474" t="inlineStr">
        <is>
          <t>ASKERSUND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8187-2021</t>
        </is>
      </c>
      <c r="B475" s="1" t="n">
        <v>44244</v>
      </c>
      <c r="C475" s="1" t="n">
        <v>45895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8047-2025</t>
        </is>
      </c>
      <c r="B476" s="1" t="n">
        <v>45707</v>
      </c>
      <c r="C476" s="1" t="n">
        <v>45895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8055-2025</t>
        </is>
      </c>
      <c r="B477" s="1" t="n">
        <v>45707</v>
      </c>
      <c r="C477" s="1" t="n">
        <v>45895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31664-2025</t>
        </is>
      </c>
      <c r="B478" s="1" t="n">
        <v>45834.36265046296</v>
      </c>
      <c r="C478" s="1" t="n">
        <v>45895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37224-2025</t>
        </is>
      </c>
      <c r="B479" s="1" t="n">
        <v>45876</v>
      </c>
      <c r="C479" s="1" t="n">
        <v>45895</v>
      </c>
      <c r="D479" t="inlineStr">
        <is>
          <t>ÖREBRO LÄN</t>
        </is>
      </c>
      <c r="E479" t="inlineStr">
        <is>
          <t>ASKERSUND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37226-2025</t>
        </is>
      </c>
      <c r="B480" s="1" t="n">
        <v>45876</v>
      </c>
      <c r="C480" s="1" t="n">
        <v>45895</v>
      </c>
      <c r="D480" t="inlineStr">
        <is>
          <t>ÖREBRO LÄN</t>
        </is>
      </c>
      <c r="E480" t="inlineStr">
        <is>
          <t>ASKERSUND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20788-2023</t>
        </is>
      </c>
      <c r="B481" s="1" t="n">
        <v>45058.59846064815</v>
      </c>
      <c r="C481" s="1" t="n">
        <v>45895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32140-2025</t>
        </is>
      </c>
      <c r="B482" s="1" t="n">
        <v>45835.52280092592</v>
      </c>
      <c r="C482" s="1" t="n">
        <v>45895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32145-2025</t>
        </is>
      </c>
      <c r="B483" s="1" t="n">
        <v>45835.52680555556</v>
      </c>
      <c r="C483" s="1" t="n">
        <v>45895</v>
      </c>
      <c r="D483" t="inlineStr">
        <is>
          <t>ÖREBRO LÄN</t>
        </is>
      </c>
      <c r="E483" t="inlineStr">
        <is>
          <t>ASKERSUND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8298-2022</t>
        </is>
      </c>
      <c r="B484" s="1" t="n">
        <v>44610</v>
      </c>
      <c r="C484" s="1" t="n">
        <v>45895</v>
      </c>
      <c r="D484" t="inlineStr">
        <is>
          <t>ÖREBRO LÄN</t>
        </is>
      </c>
      <c r="E484" t="inlineStr">
        <is>
          <t>ASKERSUND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32126-2025</t>
        </is>
      </c>
      <c r="B485" s="1" t="n">
        <v>45835</v>
      </c>
      <c r="C485" s="1" t="n">
        <v>45895</v>
      </c>
      <c r="D485" t="inlineStr">
        <is>
          <t>ÖREBRO LÄN</t>
        </is>
      </c>
      <c r="E485" t="inlineStr">
        <is>
          <t>ASKERSUND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37225-2025</t>
        </is>
      </c>
      <c r="B486" s="1" t="n">
        <v>45876</v>
      </c>
      <c r="C486" s="1" t="n">
        <v>45895</v>
      </c>
      <c r="D486" t="inlineStr">
        <is>
          <t>ÖREBRO LÄN</t>
        </is>
      </c>
      <c r="E486" t="inlineStr">
        <is>
          <t>ASKERSUND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60141-2022</t>
        </is>
      </c>
      <c r="B487" s="1" t="n">
        <v>44909.67884259259</v>
      </c>
      <c r="C487" s="1" t="n">
        <v>45895</v>
      </c>
      <c r="D487" t="inlineStr">
        <is>
          <t>ÖREBRO LÄN</t>
        </is>
      </c>
      <c r="E487" t="inlineStr">
        <is>
          <t>ASKERSUND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195-2023</t>
        </is>
      </c>
      <c r="B488" s="1" t="n">
        <v>44928</v>
      </c>
      <c r="C488" s="1" t="n">
        <v>45895</v>
      </c>
      <c r="D488" t="inlineStr">
        <is>
          <t>ÖREBRO LÄN</t>
        </is>
      </c>
      <c r="E488" t="inlineStr">
        <is>
          <t>ASKERSUND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29104-2021</t>
        </is>
      </c>
      <c r="B489" s="1" t="n">
        <v>44358.58163194444</v>
      </c>
      <c r="C489" s="1" t="n">
        <v>45895</v>
      </c>
      <c r="D489" t="inlineStr">
        <is>
          <t>ÖREBRO LÄN</t>
        </is>
      </c>
      <c r="E489" t="inlineStr">
        <is>
          <t>ASKERSUND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28692-2022</t>
        </is>
      </c>
      <c r="B490" s="1" t="n">
        <v>44748.73148148148</v>
      </c>
      <c r="C490" s="1" t="n">
        <v>45895</v>
      </c>
      <c r="D490" t="inlineStr">
        <is>
          <t>ÖREBRO LÄN</t>
        </is>
      </c>
      <c r="E490" t="inlineStr">
        <is>
          <t>ASKERSUND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33200-2025</t>
        </is>
      </c>
      <c r="B491" s="1" t="n">
        <v>45840.60550925926</v>
      </c>
      <c r="C491" s="1" t="n">
        <v>45895</v>
      </c>
      <c r="D491" t="inlineStr">
        <is>
          <t>ÖREBRO LÄN</t>
        </is>
      </c>
      <c r="E491" t="inlineStr">
        <is>
          <t>ASKERSUND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60959-2021</t>
        </is>
      </c>
      <c r="B492" s="1" t="n">
        <v>44497</v>
      </c>
      <c r="C492" s="1" t="n">
        <v>45895</v>
      </c>
      <c r="D492" t="inlineStr">
        <is>
          <t>ÖREBRO LÄN</t>
        </is>
      </c>
      <c r="E492" t="inlineStr">
        <is>
          <t>ASKERSUND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26415-2024</t>
        </is>
      </c>
      <c r="B493" s="1" t="n">
        <v>45469.456875</v>
      </c>
      <c r="C493" s="1" t="n">
        <v>45895</v>
      </c>
      <c r="D493" t="inlineStr">
        <is>
          <t>ÖREBRO LÄN</t>
        </is>
      </c>
      <c r="E493" t="inlineStr">
        <is>
          <t>ASKERSUND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32679-2025</t>
        </is>
      </c>
      <c r="B494" s="1" t="n">
        <v>45838.78107638889</v>
      </c>
      <c r="C494" s="1" t="n">
        <v>45895</v>
      </c>
      <c r="D494" t="inlineStr">
        <is>
          <t>ÖREBRO LÄN</t>
        </is>
      </c>
      <c r="E494" t="inlineStr">
        <is>
          <t>ASKERSUND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48860-2022</t>
        </is>
      </c>
      <c r="B495" s="1" t="n">
        <v>44859.69508101852</v>
      </c>
      <c r="C495" s="1" t="n">
        <v>45895</v>
      </c>
      <c r="D495" t="inlineStr">
        <is>
          <t>ÖREBRO LÄN</t>
        </is>
      </c>
      <c r="E495" t="inlineStr">
        <is>
          <t>ASKERSUND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25808-2022</t>
        </is>
      </c>
      <c r="B496" s="1" t="n">
        <v>44733</v>
      </c>
      <c r="C496" s="1" t="n">
        <v>45895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10204-2025</t>
        </is>
      </c>
      <c r="B497" s="1" t="n">
        <v>45719.76690972222</v>
      </c>
      <c r="C497" s="1" t="n">
        <v>45895</v>
      </c>
      <c r="D497" t="inlineStr">
        <is>
          <t>ÖREBRO LÄN</t>
        </is>
      </c>
      <c r="E497" t="inlineStr">
        <is>
          <t>ASKERSUND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33081-2025</t>
        </is>
      </c>
      <c r="B498" s="1" t="n">
        <v>45840</v>
      </c>
      <c r="C498" s="1" t="n">
        <v>45895</v>
      </c>
      <c r="D498" t="inlineStr">
        <is>
          <t>ÖREBRO LÄN</t>
        </is>
      </c>
      <c r="E498" t="inlineStr">
        <is>
          <t>ASKERSUND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57645-2023</t>
        </is>
      </c>
      <c r="B499" s="1" t="n">
        <v>45246</v>
      </c>
      <c r="C499" s="1" t="n">
        <v>45895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33163-2025</t>
        </is>
      </c>
      <c r="B500" s="1" t="n">
        <v>45840.57258101852</v>
      </c>
      <c r="C500" s="1" t="n">
        <v>45895</v>
      </c>
      <c r="D500" t="inlineStr">
        <is>
          <t>ÖREBRO LÄN</t>
        </is>
      </c>
      <c r="E500" t="inlineStr">
        <is>
          <t>ASKERSUND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33195-2025</t>
        </is>
      </c>
      <c r="B501" s="1" t="n">
        <v>45840.60313657407</v>
      </c>
      <c r="C501" s="1" t="n">
        <v>45895</v>
      </c>
      <c r="D501" t="inlineStr">
        <is>
          <t>ÖREBRO LÄN</t>
        </is>
      </c>
      <c r="E501" t="inlineStr">
        <is>
          <t>ASKERSUND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56389-2020</t>
        </is>
      </c>
      <c r="B502" s="1" t="n">
        <v>44136</v>
      </c>
      <c r="C502" s="1" t="n">
        <v>45895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33258-2025</t>
        </is>
      </c>
      <c r="B503" s="1" t="n">
        <v>45840.67255787037</v>
      </c>
      <c r="C503" s="1" t="n">
        <v>45895</v>
      </c>
      <c r="D503" t="inlineStr">
        <is>
          <t>ÖREBRO LÄN</t>
        </is>
      </c>
      <c r="E503" t="inlineStr">
        <is>
          <t>ASKERSUND</t>
        </is>
      </c>
      <c r="G503" t="n">
        <v>17.3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25749-2021</t>
        </is>
      </c>
      <c r="B504" s="1" t="n">
        <v>44343</v>
      </c>
      <c r="C504" s="1" t="n">
        <v>45895</v>
      </c>
      <c r="D504" t="inlineStr">
        <is>
          <t>ÖREBRO LÄN</t>
        </is>
      </c>
      <c r="E504" t="inlineStr">
        <is>
          <t>ASKERSUND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36503-2021</t>
        </is>
      </c>
      <c r="B505" s="1" t="n">
        <v>44391.40619212963</v>
      </c>
      <c r="C505" s="1" t="n">
        <v>45895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43471-2023</t>
        </is>
      </c>
      <c r="B506" s="1" t="n">
        <v>45184.41854166667</v>
      </c>
      <c r="C506" s="1" t="n">
        <v>45895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37930-2025</t>
        </is>
      </c>
      <c r="B507" s="1" t="n">
        <v>45881.58667824074</v>
      </c>
      <c r="C507" s="1" t="n">
        <v>45895</v>
      </c>
      <c r="D507" t="inlineStr">
        <is>
          <t>ÖREBRO LÄN</t>
        </is>
      </c>
      <c r="E507" t="inlineStr">
        <is>
          <t>ASKERSUND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12697-2025</t>
        </is>
      </c>
      <c r="B508" s="1" t="n">
        <v>45733.46217592592</v>
      </c>
      <c r="C508" s="1" t="n">
        <v>45895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32994-2024</t>
        </is>
      </c>
      <c r="B509" s="1" t="n">
        <v>45517.47724537037</v>
      </c>
      <c r="C509" s="1" t="n">
        <v>45895</v>
      </c>
      <c r="D509" t="inlineStr">
        <is>
          <t>ÖREBRO LÄN</t>
        </is>
      </c>
      <c r="E509" t="inlineStr">
        <is>
          <t>ASKERSUND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2232-2021</t>
        </is>
      </c>
      <c r="B510" s="1" t="n">
        <v>44211</v>
      </c>
      <c r="C510" s="1" t="n">
        <v>45895</v>
      </c>
      <c r="D510" t="inlineStr">
        <is>
          <t>ÖREBRO LÄN</t>
        </is>
      </c>
      <c r="E510" t="inlineStr">
        <is>
          <t>ASKERSUND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34433-2025</t>
        </is>
      </c>
      <c r="B511" s="1" t="n">
        <v>45846.67590277778</v>
      </c>
      <c r="C511" s="1" t="n">
        <v>45895</v>
      </c>
      <c r="D511" t="inlineStr">
        <is>
          <t>ÖREBRO LÄN</t>
        </is>
      </c>
      <c r="E511" t="inlineStr">
        <is>
          <t>ASKERSUND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32215-2024</t>
        </is>
      </c>
      <c r="B512" s="1" t="n">
        <v>45511.89145833333</v>
      </c>
      <c r="C512" s="1" t="n">
        <v>45895</v>
      </c>
      <c r="D512" t="inlineStr">
        <is>
          <t>ÖREBRO LÄN</t>
        </is>
      </c>
      <c r="E512" t="inlineStr">
        <is>
          <t>ASKERSUND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34434-2025</t>
        </is>
      </c>
      <c r="B513" s="1" t="n">
        <v>45846.67712962963</v>
      </c>
      <c r="C513" s="1" t="n">
        <v>45895</v>
      </c>
      <c r="D513" t="inlineStr">
        <is>
          <t>ÖREBRO LÄN</t>
        </is>
      </c>
      <c r="E513" t="inlineStr">
        <is>
          <t>ASKERSUND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64614-2021</t>
        </is>
      </c>
      <c r="B514" s="1" t="n">
        <v>44511</v>
      </c>
      <c r="C514" s="1" t="n">
        <v>45895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1360-2022</t>
        </is>
      </c>
      <c r="B515" s="1" t="n">
        <v>44573</v>
      </c>
      <c r="C515" s="1" t="n">
        <v>45895</v>
      </c>
      <c r="D515" t="inlineStr">
        <is>
          <t>ÖREBRO LÄN</t>
        </is>
      </c>
      <c r="E515" t="inlineStr">
        <is>
          <t>ASKERSUND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9327-2025</t>
        </is>
      </c>
      <c r="B516" s="1" t="n">
        <v>45714.74899305555</v>
      </c>
      <c r="C516" s="1" t="n">
        <v>45895</v>
      </c>
      <c r="D516" t="inlineStr">
        <is>
          <t>ÖREBRO LÄN</t>
        </is>
      </c>
      <c r="E516" t="inlineStr">
        <is>
          <t>ASKERSUND</t>
        </is>
      </c>
      <c r="G516" t="n">
        <v>17.4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52292-2021</t>
        </is>
      </c>
      <c r="B517" s="1" t="n">
        <v>44463.67348379629</v>
      </c>
      <c r="C517" s="1" t="n">
        <v>45895</v>
      </c>
      <c r="D517" t="inlineStr">
        <is>
          <t>ÖREBRO LÄN</t>
        </is>
      </c>
      <c r="E517" t="inlineStr">
        <is>
          <t>ASKERSUND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22805-2023</t>
        </is>
      </c>
      <c r="B518" s="1" t="n">
        <v>45072.3937037037</v>
      </c>
      <c r="C518" s="1" t="n">
        <v>45895</v>
      </c>
      <c r="D518" t="inlineStr">
        <is>
          <t>ÖREBRO LÄN</t>
        </is>
      </c>
      <c r="E518" t="inlineStr">
        <is>
          <t>ASKERSUND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13379-2025</t>
        </is>
      </c>
      <c r="B519" s="1" t="n">
        <v>45735.67546296296</v>
      </c>
      <c r="C519" s="1" t="n">
        <v>45895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58139-2021</t>
        </is>
      </c>
      <c r="B520" s="1" t="n">
        <v>44487</v>
      </c>
      <c r="C520" s="1" t="n">
        <v>45895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7256-2023</t>
        </is>
      </c>
      <c r="B521" s="1" t="n">
        <v>44970.63328703704</v>
      </c>
      <c r="C521" s="1" t="n">
        <v>45895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14497-2025</t>
        </is>
      </c>
      <c r="B522" s="1" t="n">
        <v>45741.61515046296</v>
      </c>
      <c r="C522" s="1" t="n">
        <v>45895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38881-2025</t>
        </is>
      </c>
      <c r="B523" s="1" t="n">
        <v>45887</v>
      </c>
      <c r="C523" s="1" t="n">
        <v>45895</v>
      </c>
      <c r="D523" t="inlineStr">
        <is>
          <t>ÖREBRO LÄN</t>
        </is>
      </c>
      <c r="E523" t="inlineStr">
        <is>
          <t>ASKERSUND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44528-2021</t>
        </is>
      </c>
      <c r="B524" s="1" t="n">
        <v>44435.62600694445</v>
      </c>
      <c r="C524" s="1" t="n">
        <v>45895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50101-2024</t>
        </is>
      </c>
      <c r="B525" s="1" t="n">
        <v>45599</v>
      </c>
      <c r="C525" s="1" t="n">
        <v>45895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7374-2022</t>
        </is>
      </c>
      <c r="B526" s="1" t="n">
        <v>44606.59967592593</v>
      </c>
      <c r="C526" s="1" t="n">
        <v>45895</v>
      </c>
      <c r="D526" t="inlineStr">
        <is>
          <t>ÖREBRO LÄN</t>
        </is>
      </c>
      <c r="E526" t="inlineStr">
        <is>
          <t>ASKERSUND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2991-2023</t>
        </is>
      </c>
      <c r="B527" s="1" t="n">
        <v>44945.72797453704</v>
      </c>
      <c r="C527" s="1" t="n">
        <v>45895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58420-2021</t>
        </is>
      </c>
      <c r="B528" s="1" t="n">
        <v>44488</v>
      </c>
      <c r="C528" s="1" t="n">
        <v>45895</v>
      </c>
      <c r="D528" t="inlineStr">
        <is>
          <t>ÖREBRO LÄN</t>
        </is>
      </c>
      <c r="E528" t="inlineStr">
        <is>
          <t>ASKERSUND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11968-2023</t>
        </is>
      </c>
      <c r="B529" s="1" t="n">
        <v>44995.5708912037</v>
      </c>
      <c r="C529" s="1" t="n">
        <v>45895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2445-2025</t>
        </is>
      </c>
      <c r="B530" s="1" t="n">
        <v>45674</v>
      </c>
      <c r="C530" s="1" t="n">
        <v>45895</v>
      </c>
      <c r="D530" t="inlineStr">
        <is>
          <t>ÖREBRO LÄN</t>
        </is>
      </c>
      <c r="E530" t="inlineStr">
        <is>
          <t>ASKERSUND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38824-2025</t>
        </is>
      </c>
      <c r="B531" s="1" t="n">
        <v>45887.5121875</v>
      </c>
      <c r="C531" s="1" t="n">
        <v>45895</v>
      </c>
      <c r="D531" t="inlineStr">
        <is>
          <t>ÖREBRO LÄN</t>
        </is>
      </c>
      <c r="E531" t="inlineStr">
        <is>
          <t>ASKERSUND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17399-2023</t>
        </is>
      </c>
      <c r="B532" s="1" t="n">
        <v>45035.6899537037</v>
      </c>
      <c r="C532" s="1" t="n">
        <v>45895</v>
      </c>
      <c r="D532" t="inlineStr">
        <is>
          <t>ÖREBRO LÄN</t>
        </is>
      </c>
      <c r="E532" t="inlineStr">
        <is>
          <t>ASKERSUND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44655.36789351852</v>
      </c>
      <c r="C533" s="1" t="n">
        <v>45895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39690-2025</t>
        </is>
      </c>
      <c r="B534" s="1" t="n">
        <v>45890.67743055556</v>
      </c>
      <c r="C534" s="1" t="n">
        <v>45895</v>
      </c>
      <c r="D534" t="inlineStr">
        <is>
          <t>ÖREBRO LÄN</t>
        </is>
      </c>
      <c r="E534" t="inlineStr">
        <is>
          <t>ASKERSUND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14598-2025</t>
        </is>
      </c>
      <c r="B535" s="1" t="n">
        <v>45742.36125</v>
      </c>
      <c r="C535" s="1" t="n">
        <v>45895</v>
      </c>
      <c r="D535" t="inlineStr">
        <is>
          <t>ÖREBRO LÄN</t>
        </is>
      </c>
      <c r="E535" t="inlineStr">
        <is>
          <t>ASKERSUND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43958-2024</t>
        </is>
      </c>
      <c r="B536" s="1" t="n">
        <v>45572.47811342592</v>
      </c>
      <c r="C536" s="1" t="n">
        <v>45895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5518-2022</t>
        </is>
      </c>
      <c r="B537" s="1" t="n">
        <v>44595</v>
      </c>
      <c r="C537" s="1" t="n">
        <v>45895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39908-2025</t>
        </is>
      </c>
      <c r="B538" s="1" t="n">
        <v>45891.64577546297</v>
      </c>
      <c r="C538" s="1" t="n">
        <v>45895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29235-2023</t>
        </is>
      </c>
      <c r="B539" s="1" t="n">
        <v>45105.61784722222</v>
      </c>
      <c r="C539" s="1" t="n">
        <v>45895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59940-2023</t>
        </is>
      </c>
      <c r="B540" s="1" t="n">
        <v>45257.67709490741</v>
      </c>
      <c r="C540" s="1" t="n">
        <v>45895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54006-2023</t>
        </is>
      </c>
      <c r="B541" s="1" t="n">
        <v>45231.68974537037</v>
      </c>
      <c r="C541" s="1" t="n">
        <v>45895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32038-2024</t>
        </is>
      </c>
      <c r="B542" s="1" t="n">
        <v>45510</v>
      </c>
      <c r="C542" s="1" t="n">
        <v>45895</v>
      </c>
      <c r="D542" t="inlineStr">
        <is>
          <t>ÖREBRO LÄN</t>
        </is>
      </c>
      <c r="E542" t="inlineStr">
        <is>
          <t>ASKERSUND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11637-2024</t>
        </is>
      </c>
      <c r="B543" s="1" t="n">
        <v>45373</v>
      </c>
      <c r="C543" s="1" t="n">
        <v>45895</v>
      </c>
      <c r="D543" t="inlineStr">
        <is>
          <t>ÖREBRO LÄN</t>
        </is>
      </c>
      <c r="E543" t="inlineStr">
        <is>
          <t>ASKERSUND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8177-2021</t>
        </is>
      </c>
      <c r="B544" s="1" t="n">
        <v>44244</v>
      </c>
      <c r="C544" s="1" t="n">
        <v>45895</v>
      </c>
      <c r="D544" t="inlineStr">
        <is>
          <t>ÖREBRO LÄN</t>
        </is>
      </c>
      <c r="E544" t="inlineStr">
        <is>
          <t>ASKERSUND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11008-2024</t>
        </is>
      </c>
      <c r="B545" s="1" t="n">
        <v>45370.59278935185</v>
      </c>
      <c r="C545" s="1" t="n">
        <v>45895</v>
      </c>
      <c r="D545" t="inlineStr">
        <is>
          <t>ÖREBRO LÄN</t>
        </is>
      </c>
      <c r="E545" t="inlineStr">
        <is>
          <t>ASKERSUND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44972-2021</t>
        </is>
      </c>
      <c r="B546" s="1" t="n">
        <v>44438</v>
      </c>
      <c r="C546" s="1" t="n">
        <v>45895</v>
      </c>
      <c r="D546" t="inlineStr">
        <is>
          <t>ÖREBRO LÄN</t>
        </is>
      </c>
      <c r="E546" t="inlineStr">
        <is>
          <t>ASKERSUND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45895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56392-2024</t>
        </is>
      </c>
      <c r="B548" s="1" t="n">
        <v>45625.34493055556</v>
      </c>
      <c r="C548" s="1" t="n">
        <v>45895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31120-2024</t>
        </is>
      </c>
      <c r="B549" s="1" t="n">
        <v>45502.59939814815</v>
      </c>
      <c r="C549" s="1" t="n">
        <v>45895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43139-2021</t>
        </is>
      </c>
      <c r="B550" s="1" t="n">
        <v>44431</v>
      </c>
      <c r="C550" s="1" t="n">
        <v>45895</v>
      </c>
      <c r="D550" t="inlineStr">
        <is>
          <t>ÖREBRO LÄN</t>
        </is>
      </c>
      <c r="E550" t="inlineStr">
        <is>
          <t>ASKERSUND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38601-2024</t>
        </is>
      </c>
      <c r="B551" s="1" t="n">
        <v>45546.67635416667</v>
      </c>
      <c r="C551" s="1" t="n">
        <v>45895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50102-2024</t>
        </is>
      </c>
      <c r="B552" s="1" t="n">
        <v>45599</v>
      </c>
      <c r="C552" s="1" t="n">
        <v>45895</v>
      </c>
      <c r="D552" t="inlineStr">
        <is>
          <t>ÖREBRO LÄN</t>
        </is>
      </c>
      <c r="E552" t="inlineStr">
        <is>
          <t>ASKERSUND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48869-2022</t>
        </is>
      </c>
      <c r="B553" s="1" t="n">
        <v>44859.72824074074</v>
      </c>
      <c r="C553" s="1" t="n">
        <v>45895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29229-2023</t>
        </is>
      </c>
      <c r="B554" s="1" t="n">
        <v>45105.6140625</v>
      </c>
      <c r="C554" s="1" t="n">
        <v>45895</v>
      </c>
      <c r="D554" t="inlineStr">
        <is>
          <t>ÖREBRO LÄN</t>
        </is>
      </c>
      <c r="E554" t="inlineStr">
        <is>
          <t>ASKERSUND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51239-2021</t>
        </is>
      </c>
      <c r="B555" s="1" t="n">
        <v>44461.52310185185</v>
      </c>
      <c r="C555" s="1" t="n">
        <v>45895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56967-2023</t>
        </is>
      </c>
      <c r="B556" s="1" t="n">
        <v>45244</v>
      </c>
      <c r="C556" s="1" t="n">
        <v>45895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7854-2025</t>
        </is>
      </c>
      <c r="B557" s="1" t="n">
        <v>45706.67792824074</v>
      </c>
      <c r="C557" s="1" t="n">
        <v>45895</v>
      </c>
      <c r="D557" t="inlineStr">
        <is>
          <t>ÖREBRO LÄN</t>
        </is>
      </c>
      <c r="E557" t="inlineStr">
        <is>
          <t>ASKERSUND</t>
        </is>
      </c>
      <c r="F557" t="inlineStr">
        <is>
          <t>Kyrkan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21055-2024</t>
        </is>
      </c>
      <c r="B558" s="1" t="n">
        <v>45439.70784722222</v>
      </c>
      <c r="C558" s="1" t="n">
        <v>45895</v>
      </c>
      <c r="D558" t="inlineStr">
        <is>
          <t>ÖREBRO LÄN</t>
        </is>
      </c>
      <c r="E558" t="inlineStr">
        <is>
          <t>ASKERSUND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33151-2021</t>
        </is>
      </c>
      <c r="B559" s="1" t="n">
        <v>44376.67820601852</v>
      </c>
      <c r="C559" s="1" t="n">
        <v>45895</v>
      </c>
      <c r="D559" t="inlineStr">
        <is>
          <t>ÖREBRO LÄN</t>
        </is>
      </c>
      <c r="E559" t="inlineStr">
        <is>
          <t>ASKERSUND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13902-2024</t>
        </is>
      </c>
      <c r="B560" s="1" t="n">
        <v>45391.67054398148</v>
      </c>
      <c r="C560" s="1" t="n">
        <v>45895</v>
      </c>
      <c r="D560" t="inlineStr">
        <is>
          <t>ÖREBRO LÄN</t>
        </is>
      </c>
      <c r="E560" t="inlineStr">
        <is>
          <t>ASKERSUND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38624-2023</t>
        </is>
      </c>
      <c r="B561" s="1" t="n">
        <v>45162</v>
      </c>
      <c r="C561" s="1" t="n">
        <v>45895</v>
      </c>
      <c r="D561" t="inlineStr">
        <is>
          <t>ÖREBRO LÄN</t>
        </is>
      </c>
      <c r="E561" t="inlineStr">
        <is>
          <t>ASKERSUND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41095-2021</t>
        </is>
      </c>
      <c r="B562" s="1" t="n">
        <v>44422</v>
      </c>
      <c r="C562" s="1" t="n">
        <v>45895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30610-2024</t>
        </is>
      </c>
      <c r="B563" s="1" t="n">
        <v>45495.3559375</v>
      </c>
      <c r="C563" s="1" t="n">
        <v>45895</v>
      </c>
      <c r="D563" t="inlineStr">
        <is>
          <t>ÖREBRO LÄN</t>
        </is>
      </c>
      <c r="E563" t="inlineStr">
        <is>
          <t>ASKERSUND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11064-2025</t>
        </is>
      </c>
      <c r="B564" s="1" t="n">
        <v>45723.52434027778</v>
      </c>
      <c r="C564" s="1" t="n">
        <v>45895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1345-2024</t>
        </is>
      </c>
      <c r="B565" s="1" t="n">
        <v>45303</v>
      </c>
      <c r="C565" s="1" t="n">
        <v>45895</v>
      </c>
      <c r="D565" t="inlineStr">
        <is>
          <t>ÖREBRO LÄN</t>
        </is>
      </c>
      <c r="E565" t="inlineStr">
        <is>
          <t>ASKERSUND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11625-2022</t>
        </is>
      </c>
      <c r="B566" s="1" t="n">
        <v>44631</v>
      </c>
      <c r="C566" s="1" t="n">
        <v>45895</v>
      </c>
      <c r="D566" t="inlineStr">
        <is>
          <t>ÖREBRO LÄN</t>
        </is>
      </c>
      <c r="E566" t="inlineStr">
        <is>
          <t>ASKERSUND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52289-2023</t>
        </is>
      </c>
      <c r="B567" s="1" t="n">
        <v>45224.59074074074</v>
      </c>
      <c r="C567" s="1" t="n">
        <v>45895</v>
      </c>
      <c r="D567" t="inlineStr">
        <is>
          <t>ÖREBRO LÄN</t>
        </is>
      </c>
      <c r="E567" t="inlineStr">
        <is>
          <t>ASKERSUND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25528-2023</t>
        </is>
      </c>
      <c r="B568" s="1" t="n">
        <v>45089</v>
      </c>
      <c r="C568" s="1" t="n">
        <v>45895</v>
      </c>
      <c r="D568" t="inlineStr">
        <is>
          <t>ÖREBRO LÄN</t>
        </is>
      </c>
      <c r="E568" t="inlineStr">
        <is>
          <t>ASKERSUND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61517-2021</t>
        </is>
      </c>
      <c r="B569" s="1" t="n">
        <v>44501</v>
      </c>
      <c r="C569" s="1" t="n">
        <v>45895</v>
      </c>
      <c r="D569" t="inlineStr">
        <is>
          <t>ÖREBRO LÄN</t>
        </is>
      </c>
      <c r="E569" t="inlineStr">
        <is>
          <t>ASKERSUND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28897-2023</t>
        </is>
      </c>
      <c r="B570" s="1" t="n">
        <v>45104</v>
      </c>
      <c r="C570" s="1" t="n">
        <v>45895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918-2025</t>
        </is>
      </c>
      <c r="B571" s="1" t="n">
        <v>45664</v>
      </c>
      <c r="C571" s="1" t="n">
        <v>45895</v>
      </c>
      <c r="D571" t="inlineStr">
        <is>
          <t>ÖREBRO LÄN</t>
        </is>
      </c>
      <c r="E571" t="inlineStr">
        <is>
          <t>ASKERSUND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920-2025</t>
        </is>
      </c>
      <c r="B572" s="1" t="n">
        <v>45664</v>
      </c>
      <c r="C572" s="1" t="n">
        <v>45895</v>
      </c>
      <c r="D572" t="inlineStr">
        <is>
          <t>ÖREBRO LÄN</t>
        </is>
      </c>
      <c r="E572" t="inlineStr">
        <is>
          <t>ASKERSUND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20184-2024</t>
        </is>
      </c>
      <c r="B573" s="1" t="n">
        <v>45434.62350694444</v>
      </c>
      <c r="C573" s="1" t="n">
        <v>45895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2555-2024</t>
        </is>
      </c>
      <c r="B574" s="1" t="n">
        <v>45313.60285879629</v>
      </c>
      <c r="C574" s="1" t="n">
        <v>45895</v>
      </c>
      <c r="D574" t="inlineStr">
        <is>
          <t>ÖREBRO LÄN</t>
        </is>
      </c>
      <c r="E574" t="inlineStr">
        <is>
          <t>ASKERSUND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9437-2025</t>
        </is>
      </c>
      <c r="B575" s="1" t="n">
        <v>45715.4134375</v>
      </c>
      <c r="C575" s="1" t="n">
        <v>45895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45895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916-2025</t>
        </is>
      </c>
      <c r="B577" s="1" t="n">
        <v>45664</v>
      </c>
      <c r="C577" s="1" t="n">
        <v>45895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919-2025</t>
        </is>
      </c>
      <c r="B578" s="1" t="n">
        <v>45664</v>
      </c>
      <c r="C578" s="1" t="n">
        <v>45895</v>
      </c>
      <c r="D578" t="inlineStr">
        <is>
          <t>ÖREBRO LÄN</t>
        </is>
      </c>
      <c r="E578" t="inlineStr">
        <is>
          <t>ASKERSUND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2799-2024</t>
        </is>
      </c>
      <c r="B579" s="1" t="n">
        <v>45314</v>
      </c>
      <c r="C579" s="1" t="n">
        <v>45895</v>
      </c>
      <c r="D579" t="inlineStr">
        <is>
          <t>ÖREBRO LÄN</t>
        </is>
      </c>
      <c r="E579" t="inlineStr">
        <is>
          <t>ASKERSUND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56395-2024</t>
        </is>
      </c>
      <c r="B580" s="1" t="n">
        <v>45625.34810185185</v>
      </c>
      <c r="C580" s="1" t="n">
        <v>45895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63422-2021</t>
        </is>
      </c>
      <c r="B581" s="1" t="n">
        <v>44508</v>
      </c>
      <c r="C581" s="1" t="n">
        <v>45895</v>
      </c>
      <c r="D581" t="inlineStr">
        <is>
          <t>ÖREBRO LÄN</t>
        </is>
      </c>
      <c r="E581" t="inlineStr">
        <is>
          <t>ASKERSUND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8367-2025</t>
        </is>
      </c>
      <c r="B582" s="1" t="n">
        <v>45708.95491898148</v>
      </c>
      <c r="C582" s="1" t="n">
        <v>45895</v>
      </c>
      <c r="D582" t="inlineStr">
        <is>
          <t>ÖREBRO LÄN</t>
        </is>
      </c>
      <c r="E582" t="inlineStr">
        <is>
          <t>ASKERSUND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2295-2023</t>
        </is>
      </c>
      <c r="B583" s="1" t="n">
        <v>44942</v>
      </c>
      <c r="C583" s="1" t="n">
        <v>45895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27428-2024</t>
        </is>
      </c>
      <c r="B584" s="1" t="n">
        <v>45473</v>
      </c>
      <c r="C584" s="1" t="n">
        <v>45895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2025-08-26T08:32:51Z</dcterms:created>
  <dcterms:modified xmlns:dcterms="http://purl.org/dc/terms/" xmlns:xsi="http://www.w3.org/2001/XMLSchema-instance" xsi:type="dcterms:W3CDTF">2025-08-26T08:32:52Z</dcterms:modified>
</cp:coreProperties>
</file>